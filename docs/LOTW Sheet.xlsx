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 Sutherland\Downloads\"/>
    </mc:Choice>
  </mc:AlternateContent>
  <xr:revisionPtr revIDLastSave="0" documentId="8_{192E7189-5871-4673-B485-F419BC4A48D6}" xr6:coauthVersionLast="47" xr6:coauthVersionMax="47" xr10:uidLastSave="{00000000-0000-0000-0000-000000000000}"/>
  <bookViews>
    <workbookView xWindow="28680" yWindow="-120" windowWidth="29040" windowHeight="15720" xr2:uid="{259326C0-D6AF-4DB6-8B2B-81E885451D33}"/>
  </bookViews>
  <sheets>
    <sheet name="NCAA" sheetId="1" r:id="rId1"/>
    <sheet name="NCAA Players" sheetId="2" r:id="rId2"/>
    <sheet name="NFL" sheetId="3" r:id="rId3"/>
    <sheet name="NFL Players" sheetId="4" r:id="rId4"/>
  </sheets>
  <definedNames>
    <definedName name="_xlnm._FilterDatabase" localSheetId="0" hidden="1">NCAA!$A$2:$BN$37</definedName>
    <definedName name="_xlnm._FilterDatabase" localSheetId="1" hidden="1">'NCAA Players'!$A$1:$C$1</definedName>
    <definedName name="_xlnm._FilterDatabase" localSheetId="2" hidden="1">NFL!$A$2:$BV$18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" i="1" l="1"/>
  <c r="BQ18" i="3"/>
  <c r="BP18" i="3"/>
  <c r="BM18" i="3"/>
  <c r="BL18" i="3"/>
  <c r="BI18" i="3"/>
  <c r="BH18" i="3"/>
  <c r="BE18" i="3"/>
  <c r="BD18" i="3"/>
  <c r="AZ18" i="3"/>
  <c r="BA18" i="3"/>
  <c r="AZ38" i="1"/>
  <c r="BA38" i="1"/>
  <c r="AW18" i="3"/>
  <c r="AV18" i="3"/>
  <c r="AR18" i="3"/>
  <c r="AS18" i="3"/>
  <c r="AW38" i="1"/>
  <c r="AV38" i="1"/>
  <c r="AS38" i="1"/>
  <c r="AR38" i="1"/>
  <c r="AO18" i="3"/>
  <c r="AN18" i="3"/>
  <c r="AO38" i="1"/>
  <c r="AN38" i="1"/>
  <c r="AK38" i="1"/>
  <c r="AJ38" i="1"/>
  <c r="AG38" i="1"/>
  <c r="AF38" i="1"/>
  <c r="AC38" i="1"/>
  <c r="AB38" i="1"/>
  <c r="Y38" i="1"/>
  <c r="X38" i="1"/>
  <c r="U38" i="1"/>
  <c r="T38" i="1"/>
  <c r="Q38" i="1"/>
  <c r="P38" i="1"/>
  <c r="M38" i="1"/>
  <c r="L38" i="1"/>
  <c r="I38" i="1"/>
  <c r="H38" i="1"/>
  <c r="E38" i="1"/>
  <c r="D38" i="1"/>
  <c r="AK18" i="3"/>
  <c r="AJ18" i="3"/>
  <c r="AF18" i="3"/>
  <c r="AG18" i="3"/>
  <c r="AC18" i="3"/>
  <c r="AB18" i="3"/>
  <c r="X18" i="3"/>
  <c r="Y18" i="3"/>
  <c r="Q18" i="3"/>
  <c r="M18" i="3"/>
  <c r="I18" i="3"/>
  <c r="E18" i="3"/>
  <c r="D18" i="3"/>
  <c r="H18" i="3"/>
  <c r="L18" i="3"/>
  <c r="P18" i="3"/>
  <c r="U18" i="3"/>
  <c r="T18" i="3"/>
  <c r="BU18" i="3"/>
  <c r="BT18" i="3"/>
  <c r="BM38" i="1"/>
  <c r="BI38" i="1"/>
  <c r="BE38" i="1"/>
  <c r="BL38" i="1"/>
  <c r="BH38" i="1"/>
  <c r="BD38" i="1"/>
  <c r="BV7" i="3"/>
  <c r="BV12" i="3"/>
  <c r="BV5" i="3"/>
  <c r="BV11" i="3"/>
  <c r="BV9" i="3"/>
  <c r="BV6" i="3"/>
  <c r="BV10" i="3"/>
  <c r="BV4" i="3"/>
  <c r="BV13" i="3"/>
  <c r="BV14" i="3"/>
  <c r="BV16" i="3"/>
  <c r="BV8" i="3"/>
  <c r="BV17" i="3"/>
  <c r="BV3" i="3"/>
  <c r="BV15" i="3"/>
  <c r="BN17" i="1"/>
  <c r="BN15" i="1"/>
  <c r="BN4" i="1"/>
  <c r="BN7" i="1"/>
  <c r="BN24" i="1"/>
  <c r="BN29" i="1"/>
  <c r="BN14" i="1"/>
  <c r="BN33" i="1"/>
  <c r="BN36" i="1"/>
  <c r="BN12" i="1"/>
  <c r="BN11" i="1"/>
  <c r="BN31" i="1"/>
  <c r="BN16" i="1"/>
  <c r="BN22" i="1"/>
  <c r="BN18" i="1"/>
  <c r="BN37" i="1"/>
  <c r="BN26" i="1"/>
  <c r="BN5" i="1"/>
  <c r="BN32" i="1"/>
  <c r="BN8" i="1"/>
  <c r="BN6" i="1"/>
  <c r="BN19" i="1"/>
  <c r="BN28" i="1"/>
  <c r="BN9" i="1"/>
  <c r="BN25" i="1"/>
  <c r="BN35" i="1"/>
  <c r="BN21" i="1"/>
  <c r="BN13" i="1"/>
  <c r="BN30" i="1"/>
  <c r="BN27" i="1"/>
  <c r="BN10" i="1"/>
  <c r="BN20" i="1"/>
  <c r="BN34" i="1"/>
  <c r="BN23" i="1"/>
</calcChain>
</file>

<file path=xl/sharedStrings.xml><?xml version="1.0" encoding="utf-8"?>
<sst xmlns="http://schemas.openxmlformats.org/spreadsheetml/2006/main" count="1150" uniqueCount="352">
  <si>
    <t>LOY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</si>
  <si>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</si>
  <si>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</si>
  <si>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</si>
  <si>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</si>
  <si>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</si>
  <si>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</si>
  <si>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</si>
  <si>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</si>
  <si>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</si>
  <si>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</si>
  <si>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</si>
  <si>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</si>
  <si>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</si>
  <si>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</si>
  <si>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</si>
  <si>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Tie Breaker W1</t>
  </si>
  <si>
    <t>Season Total</t>
  </si>
  <si>
    <t>Player</t>
  </si>
  <si>
    <t>Pick</t>
  </si>
  <si>
    <t>Line</t>
  </si>
  <si>
    <t>Result</t>
  </si>
  <si>
    <t>Margin</t>
  </si>
  <si>
    <t>Bilo</t>
  </si>
  <si>
    <t>Tennessee</t>
  </si>
  <si>
    <t>Illinois</t>
  </si>
  <si>
    <t>Alabama</t>
  </si>
  <si>
    <t>Ole Miss</t>
  </si>
  <si>
    <t>Georgia</t>
  </si>
  <si>
    <t>UNLV</t>
  </si>
  <si>
    <t>Texas A&amp;M</t>
  </si>
  <si>
    <t>LSU</t>
  </si>
  <si>
    <t>Michigan</t>
  </si>
  <si>
    <t>Baylor</t>
  </si>
  <si>
    <t>Indiana</t>
  </si>
  <si>
    <t>Pitt</t>
  </si>
  <si>
    <t xml:space="preserve">Oklahoma </t>
  </si>
  <si>
    <t>Michael</t>
  </si>
  <si>
    <t>FSU</t>
  </si>
  <si>
    <t>Cincy</t>
  </si>
  <si>
    <t>Missouri</t>
  </si>
  <si>
    <t>Duke</t>
  </si>
  <si>
    <t>FAU</t>
  </si>
  <si>
    <t>Wisconsin</t>
  </si>
  <si>
    <t>Washington</t>
  </si>
  <si>
    <t>Iowa State</t>
  </si>
  <si>
    <t>Nebraska</t>
  </si>
  <si>
    <t>Kentucky</t>
  </si>
  <si>
    <t>Oklahoma</t>
  </si>
  <si>
    <t>New Mexico</t>
  </si>
  <si>
    <t>Kirkland</t>
  </si>
  <si>
    <t>Clemson</t>
  </si>
  <si>
    <t>Arkansas</t>
  </si>
  <si>
    <t>Oregon</t>
  </si>
  <si>
    <t>Vandy</t>
  </si>
  <si>
    <t>Ohio State</t>
  </si>
  <si>
    <t>BYU</t>
  </si>
  <si>
    <t>Horni</t>
  </si>
  <si>
    <t>Ark/Notre Dame</t>
  </si>
  <si>
    <t>u63.5</t>
  </si>
  <si>
    <t>UCF</t>
  </si>
  <si>
    <t>Texas Tech</t>
  </si>
  <si>
    <t>UCLA</t>
  </si>
  <si>
    <t>Miami</t>
  </si>
  <si>
    <t>Boise</t>
  </si>
  <si>
    <t>Chenry</t>
  </si>
  <si>
    <t>Utah</t>
  </si>
  <si>
    <t>Texas</t>
  </si>
  <si>
    <t>Wisc/Mich</t>
  </si>
  <si>
    <t>u43.5</t>
  </si>
  <si>
    <t>OU/Texas</t>
  </si>
  <si>
    <t>Virginia</t>
  </si>
  <si>
    <t>Penn State</t>
  </si>
  <si>
    <t>Purdue</t>
  </si>
  <si>
    <t>Texas/Georgia</t>
  </si>
  <si>
    <t>u48.5</t>
  </si>
  <si>
    <t>Jacob</t>
  </si>
  <si>
    <t>MSST</t>
  </si>
  <si>
    <t>Georgia Tech</t>
  </si>
  <si>
    <t>Mississippi State</t>
  </si>
  <si>
    <t>UTSA</t>
  </si>
  <si>
    <t>Arizona State</t>
  </si>
  <si>
    <t>Ellis</t>
  </si>
  <si>
    <t>Tulane</t>
  </si>
  <si>
    <t>Syracuse</t>
  </si>
  <si>
    <t>Arizona</t>
  </si>
  <si>
    <t>Troy</t>
  </si>
  <si>
    <t>Arkansas/Texas</t>
  </si>
  <si>
    <t>o57.5</t>
  </si>
  <si>
    <t>Unlv</t>
  </si>
  <si>
    <t>Jordan</t>
  </si>
  <si>
    <t>West Virginia</t>
  </si>
  <si>
    <t>LA Tech</t>
  </si>
  <si>
    <t>Appalachian State</t>
  </si>
  <si>
    <t>JAX State</t>
  </si>
  <si>
    <t>Louisville</t>
  </si>
  <si>
    <t>Arkansas St</t>
  </si>
  <si>
    <t>Troy/JMU</t>
  </si>
  <si>
    <t>o46.5</t>
  </si>
  <si>
    <t>Seath</t>
  </si>
  <si>
    <t>South Carolina</t>
  </si>
  <si>
    <t>Miss St</t>
  </si>
  <si>
    <t>Cole</t>
  </si>
  <si>
    <t>Auburn</t>
  </si>
  <si>
    <t>Iowa/Iowa State</t>
  </si>
  <si>
    <t>u42.5</t>
  </si>
  <si>
    <t>Notre Dame</t>
  </si>
  <si>
    <t>USC</t>
  </si>
  <si>
    <t>GT</t>
  </si>
  <si>
    <t>Iowa</t>
  </si>
  <si>
    <t>Charlotte</t>
  </si>
  <si>
    <t>ECU</t>
  </si>
  <si>
    <t>Feemster</t>
  </si>
  <si>
    <t>Umass</t>
  </si>
  <si>
    <t>Nebraska/Michigan</t>
  </si>
  <si>
    <t>TTU/KSTATE</t>
  </si>
  <si>
    <t>o51.5</t>
  </si>
  <si>
    <t>Indiana/PSU</t>
  </si>
  <si>
    <t>o49.5</t>
  </si>
  <si>
    <t>Iowa/USC</t>
  </si>
  <si>
    <t>o47.5</t>
  </si>
  <si>
    <t>Cooks</t>
  </si>
  <si>
    <t>Alabama/Wis</t>
  </si>
  <si>
    <t>o44.5</t>
  </si>
  <si>
    <t>TCU</t>
  </si>
  <si>
    <t>Iowa State/Cincy</t>
  </si>
  <si>
    <t>u55.5</t>
  </si>
  <si>
    <t>Ole Miss/WSU</t>
  </si>
  <si>
    <t>o58.5</t>
  </si>
  <si>
    <t>Bama</t>
  </si>
  <si>
    <t>Cord</t>
  </si>
  <si>
    <t>UAB</t>
  </si>
  <si>
    <t>TCU/ASU</t>
  </si>
  <si>
    <t>u54.5</t>
  </si>
  <si>
    <t>Texas Tech/UH</t>
  </si>
  <si>
    <t>u51.5</t>
  </si>
  <si>
    <t>Bowling Green</t>
  </si>
  <si>
    <t>Memphis</t>
  </si>
  <si>
    <t>BYU/Cincy</t>
  </si>
  <si>
    <t>o55.5</t>
  </si>
  <si>
    <t>Boise/UNLV</t>
  </si>
  <si>
    <t>o59.5</t>
  </si>
  <si>
    <t>Evan</t>
  </si>
  <si>
    <t>Florida State</t>
  </si>
  <si>
    <t>Missouri St</t>
  </si>
  <si>
    <t>UConn</t>
  </si>
  <si>
    <t>JMU</t>
  </si>
  <si>
    <t>M-OH/Ohio</t>
  </si>
  <si>
    <t>UMASS</t>
  </si>
  <si>
    <t>SHSU/MTSU</t>
  </si>
  <si>
    <t>o53.5</t>
  </si>
  <si>
    <t>Josey</t>
  </si>
  <si>
    <t>Vandy/Utah State</t>
  </si>
  <si>
    <t>o60.5</t>
  </si>
  <si>
    <t>Utah State</t>
  </si>
  <si>
    <t>USF</t>
  </si>
  <si>
    <t>Tulane/UNT</t>
  </si>
  <si>
    <t>o66.5</t>
  </si>
  <si>
    <t>Dipshit</t>
  </si>
  <si>
    <t>Army</t>
  </si>
  <si>
    <t>LSU/LA Tech</t>
  </si>
  <si>
    <t>SMU</t>
  </si>
  <si>
    <t>PSU/OSU</t>
  </si>
  <si>
    <t>A&amp;M/MIZZ</t>
  </si>
  <si>
    <t>o48.5</t>
  </si>
  <si>
    <t>Beezy</t>
  </si>
  <si>
    <t>u47.5</t>
  </si>
  <si>
    <t>Miss State</t>
  </si>
  <si>
    <t>Ole Miss/Oklahoma</t>
  </si>
  <si>
    <t>o54.5</t>
  </si>
  <si>
    <t>Marsh/Coast</t>
  </si>
  <si>
    <t>Ohio</t>
  </si>
  <si>
    <t>Kirk</t>
  </si>
  <si>
    <t>Cincinnati</t>
  </si>
  <si>
    <t>Sorrells</t>
  </si>
  <si>
    <t>Txst/utsa</t>
  </si>
  <si>
    <t xml:space="preserve"> o65.5</t>
  </si>
  <si>
    <t>Oregon St/Texas Tech</t>
  </si>
  <si>
    <t>o62.5</t>
  </si>
  <si>
    <t>Air Force/Navy</t>
  </si>
  <si>
    <t>AF/Wyoming</t>
  </si>
  <si>
    <t>FAU/Navy</t>
  </si>
  <si>
    <t>Tulane/UTSA</t>
  </si>
  <si>
    <t>AFA/SJSU</t>
  </si>
  <si>
    <t>UTSA/CLT</t>
  </si>
  <si>
    <t>ECU/UTSA</t>
  </si>
  <si>
    <t>o63.5</t>
  </si>
  <si>
    <t>LSU/Oklahoma</t>
  </si>
  <si>
    <t>o36.5</t>
  </si>
  <si>
    <t>Coleman</t>
  </si>
  <si>
    <t>Oregon/USC</t>
  </si>
  <si>
    <t>Ty Owens</t>
  </si>
  <si>
    <t>Ball/Auburn</t>
  </si>
  <si>
    <t>Florida</t>
  </si>
  <si>
    <t>Cliff</t>
  </si>
  <si>
    <t>SKIP</t>
  </si>
  <si>
    <t>Boise State</t>
  </si>
  <si>
    <t>Dale Marks</t>
  </si>
  <si>
    <t>UCLA/Utah</t>
  </si>
  <si>
    <t>Illinois/Purdue</t>
  </si>
  <si>
    <t>WVU</t>
  </si>
  <si>
    <t>Hayden</t>
  </si>
  <si>
    <t>Marshall</t>
  </si>
  <si>
    <t>UL/Miz</t>
  </si>
  <si>
    <t>o43.5</t>
  </si>
  <si>
    <t>Wake Forest</t>
  </si>
  <si>
    <t>Neb/Minn</t>
  </si>
  <si>
    <t>Houston/Arizona St</t>
  </si>
  <si>
    <t>JMU/TXST</t>
  </si>
  <si>
    <t>Toledo/M-OH</t>
  </si>
  <si>
    <t>o45.5</t>
  </si>
  <si>
    <t>Oklahoma/Mizz</t>
  </si>
  <si>
    <t>Jaba</t>
  </si>
  <si>
    <t>Vanderbilt</t>
  </si>
  <si>
    <t>u64.5</t>
  </si>
  <si>
    <t>Texas/Florida</t>
  </si>
  <si>
    <t>o41.5</t>
  </si>
  <si>
    <t>Arkansas/LSU</t>
  </si>
  <si>
    <t>Scratch</t>
  </si>
  <si>
    <t>NC State</t>
  </si>
  <si>
    <t>Stank</t>
  </si>
  <si>
    <t>Vandy/SC</t>
  </si>
  <si>
    <t>Rutgers</t>
  </si>
  <si>
    <t>Brian Holloway</t>
  </si>
  <si>
    <t>Camden</t>
  </si>
  <si>
    <t>KU/Mizou</t>
  </si>
  <si>
    <t>o50.5</t>
  </si>
  <si>
    <t>Oregon/NW</t>
  </si>
  <si>
    <t>Miami/FSU</t>
  </si>
  <si>
    <t>Dalton</t>
  </si>
  <si>
    <t>Jay Cook</t>
  </si>
  <si>
    <t>Pins</t>
  </si>
  <si>
    <t>SDSU</t>
  </si>
  <si>
    <t>Robby</t>
  </si>
  <si>
    <t>Buffalo</t>
  </si>
  <si>
    <t>Tracks Inn</t>
  </si>
  <si>
    <t>Ty Davis</t>
  </si>
  <si>
    <t>BYU/Texas Tech</t>
  </si>
  <si>
    <t>Week Total</t>
  </si>
  <si>
    <t>Payouts</t>
  </si>
  <si>
    <t>Number</t>
  </si>
  <si>
    <t>Pot</t>
  </si>
  <si>
    <t>870-918-4642</t>
  </si>
  <si>
    <t>870-918-8889</t>
  </si>
  <si>
    <t>870-312-0609</t>
  </si>
  <si>
    <t>970-314-2949</t>
  </si>
  <si>
    <t>870-814-5591</t>
  </si>
  <si>
    <t>318-540-9059</t>
  </si>
  <si>
    <t>501-515-2320</t>
  </si>
  <si>
    <t>870-918-6644</t>
  </si>
  <si>
    <t>870-918-1493</t>
  </si>
  <si>
    <t>870-904-4246</t>
  </si>
  <si>
    <t>870-814-3154</t>
  </si>
  <si>
    <t>318-230-5634</t>
  </si>
  <si>
    <t>870-818-3402</t>
  </si>
  <si>
    <t>870-904-5821</t>
  </si>
  <si>
    <t>870-914-1214</t>
  </si>
  <si>
    <t>870-818-6627</t>
  </si>
  <si>
    <t>870-904-2965</t>
  </si>
  <si>
    <t>870-866-8533</t>
  </si>
  <si>
    <t>870-866-2768</t>
  </si>
  <si>
    <t>870-814-4445</t>
  </si>
  <si>
    <t>870-951-1782</t>
  </si>
  <si>
    <t>870-918-4553</t>
  </si>
  <si>
    <t>870-310-3508</t>
  </si>
  <si>
    <t>318-349-8783</t>
  </si>
  <si>
    <t>870-723-9190</t>
  </si>
  <si>
    <t>870-814-6208</t>
  </si>
  <si>
    <t>318-347-8445</t>
  </si>
  <si>
    <t>870-814-9069</t>
  </si>
  <si>
    <t>870-814-8183</t>
  </si>
  <si>
    <t>870-843-0129</t>
  </si>
  <si>
    <t>870-312-0869</t>
  </si>
  <si>
    <t>318-990-1529</t>
  </si>
  <si>
    <t>870-347-6441</t>
  </si>
  <si>
    <t>870-310-0780</t>
  </si>
  <si>
    <t>Week 16</t>
  </si>
  <si>
    <t>Week 17</t>
  </si>
  <si>
    <t>Week 18</t>
  </si>
  <si>
    <t>Texans/Rams</t>
  </si>
  <si>
    <t>Cardinals</t>
  </si>
  <si>
    <t>Cowboys</t>
  </si>
  <si>
    <t>Falcons</t>
  </si>
  <si>
    <t>Vikings</t>
  </si>
  <si>
    <t>Seahawks</t>
  </si>
  <si>
    <t>Ravens</t>
  </si>
  <si>
    <t>Lions</t>
  </si>
  <si>
    <t>Pats/Jets</t>
  </si>
  <si>
    <t>Patriots</t>
  </si>
  <si>
    <t>Cowboys/Lions</t>
  </si>
  <si>
    <t>49ers</t>
  </si>
  <si>
    <t>Buccaneers</t>
  </si>
  <si>
    <t xml:space="preserve">Jags </t>
  </si>
  <si>
    <t>Colts</t>
  </si>
  <si>
    <t>DAL/WASH</t>
  </si>
  <si>
    <t>Cowboys/Broncos</t>
  </si>
  <si>
    <t>Panthers</t>
  </si>
  <si>
    <t>Chiefs</t>
  </si>
  <si>
    <t>Jags/Broncos</t>
  </si>
  <si>
    <t>Bills</t>
  </si>
  <si>
    <t>Bills/Jets</t>
  </si>
  <si>
    <t>Bears</t>
  </si>
  <si>
    <t>Giants/Eagles</t>
  </si>
  <si>
    <t>Broncos</t>
  </si>
  <si>
    <t>Chargers</t>
  </si>
  <si>
    <t>Jags</t>
  </si>
  <si>
    <t>Eagles</t>
  </si>
  <si>
    <t>Bucs</t>
  </si>
  <si>
    <t>Commanders</t>
  </si>
  <si>
    <t>Bengals</t>
  </si>
  <si>
    <t>Rams</t>
  </si>
  <si>
    <t>Colts/Chargers</t>
  </si>
  <si>
    <t>Packers/Steelers</t>
  </si>
  <si>
    <t>Colts/Steelers</t>
  </si>
  <si>
    <t>Steelers/Chargers</t>
  </si>
  <si>
    <t>Raiders/Texans</t>
  </si>
  <si>
    <t>o39.5</t>
  </si>
  <si>
    <t>Giants</t>
  </si>
  <si>
    <t>o52.5</t>
  </si>
  <si>
    <t>Packers/Broncos</t>
  </si>
  <si>
    <t>o42.5</t>
  </si>
  <si>
    <t>Cards/Falcons</t>
  </si>
  <si>
    <t>Cowboys/Bears</t>
  </si>
  <si>
    <t>Packers</t>
  </si>
  <si>
    <t>Texans</t>
  </si>
  <si>
    <t>Raiders/Commanders</t>
  </si>
  <si>
    <t>Seahawks/Jaguars</t>
  </si>
  <si>
    <t>Commies</t>
  </si>
  <si>
    <t>49ers/Rams</t>
  </si>
  <si>
    <t>u49.5</t>
  </si>
  <si>
    <t>Steelers</t>
  </si>
  <si>
    <t>Steelers/Lions</t>
  </si>
  <si>
    <t>u52.5</t>
  </si>
  <si>
    <t>Bucs/Dolphins</t>
  </si>
  <si>
    <t>Lions/Commanders</t>
  </si>
  <si>
    <t>Lions/Eagles</t>
  </si>
  <si>
    <t>Raiders</t>
  </si>
  <si>
    <t>Bears/Eagles</t>
  </si>
  <si>
    <t>Dolphins</t>
  </si>
  <si>
    <t>Cowboys/Panthers</t>
  </si>
  <si>
    <t>Browns</t>
  </si>
  <si>
    <t>Cardinals/Seahawks</t>
  </si>
  <si>
    <t>Eagles/Cowboys</t>
  </si>
  <si>
    <t>Panthers/Cardinals</t>
  </si>
  <si>
    <t>Broncos/Texans</t>
  </si>
  <si>
    <t>u41.5</t>
  </si>
  <si>
    <t>Titans</t>
  </si>
  <si>
    <t>Saints</t>
  </si>
  <si>
    <t>Buccs</t>
  </si>
  <si>
    <t>Skip</t>
  </si>
  <si>
    <t>Eagles/Bucs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</si>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</sst>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56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6" borderId="0" xfId="0" applyFill="1"/>
    <xf numFmtId="0" fontId="1" fillId="6" borderId="4" xfId="0" applyFont="1" applyFill="1" applyBorder="1"/>
    <xf numFmtId="0" fontId="1" fillId="10" borderId="4" xfId="0" applyFont="1" applyFill="1" applyBorder="1"/>
    <xf numFmtId="0" fontId="0" fillId="10" borderId="0" xfId="0" applyFill="1"/>
    <xf numFmtId="0" fontId="3" fillId="10" borderId="0" xfId="0" applyFont="1" applyFill="1"/>
    <xf numFmtId="6" fontId="0" fillId="6" borderId="0" xfId="0" applyNumberFormat="1" applyFill="1"/>
    <xf numFmtId="6" fontId="0" fillId="11" borderId="0" xfId="0" applyNumberFormat="1" applyFill="1"/>
    <xf numFmtId="6" fontId="0" fillId="12" borderId="0" xfId="0" applyNumberFormat="1" applyFill="1"/>
    <xf numFmtId="0" fontId="1" fillId="10" borderId="0" xfId="0" applyFont="1" applyFill="1"/>
    <xf numFmtId="0" fontId="0" fillId="12" borderId="0" xfId="0" applyFill="1"/>
    <xf numFmtId="0" fontId="0" fillId="11" borderId="0" xfId="0" applyFill="1"/>
    <xf numFmtId="0" fontId="1" fillId="6" borderId="10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13" borderId="0" xfId="0" applyFill="1"/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341E8E5-1587-40BE-8330-9A7FE471A73D}">
    <nsvFilter filterId="{A1121864-0430-4BCF-BE6D-AD3C2AF5C676}" ref="A2:BV18" tableId="0">
      <sortRules>
        <sortRule colId="73">
          <sortCondition descending="1" ref="BV2:BV18"/>
        </sortRule>
      </sortRules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9B8D-CCAB-40D7-A62A-28DCB73C49AD}">
  <dimension ref="A1:BN43"/>
  <sheetViews>
    <sheetView tabSelected="1" zoomScaleNormal="100" workbookViewId="0">
      <selection activeCell="E3" sqref="E3"/>
    </sheetView>
  </sheetViews>
  <sheetFormatPr defaultRowHeight="15" x14ac:dyDescent="0.25"/>
  <cols>
    <col min="1" max="1" width="14.42578125" bestFit="1" customWidth="1"/>
    <col min="2" max="2" width="14.42578125" customWidth="1"/>
    <col min="3" max="3" width="8.5703125" customWidth="1"/>
    <col min="4" max="5" width="8.7109375" customWidth="1"/>
    <col min="6" max="6" width="13.5703125" customWidth="1"/>
    <col min="7" max="9" width="8.7109375" customWidth="1"/>
    <col min="10" max="10" width="18.5703125" customWidth="1"/>
    <col min="11" max="13" width="8.7109375" customWidth="1"/>
    <col min="14" max="14" width="16.42578125" customWidth="1"/>
    <col min="15" max="17" width="8.7109375" customWidth="1"/>
    <col min="18" max="18" width="17.140625" customWidth="1"/>
    <col min="19" max="21" width="8.7109375" customWidth="1"/>
    <col min="22" max="22" width="15.5703125" customWidth="1"/>
    <col min="23" max="25" width="8.7109375" customWidth="1"/>
    <col min="26" max="26" width="12.5703125" customWidth="1"/>
    <col min="27" max="29" width="8.7109375" customWidth="1"/>
    <col min="30" max="30" width="13" customWidth="1"/>
    <col min="31" max="33" width="8.7109375" customWidth="1"/>
    <col min="34" max="34" width="18" customWidth="1"/>
    <col min="35" max="37" width="8.7109375" customWidth="1"/>
    <col min="38" max="38" width="13.28515625" customWidth="1"/>
    <col min="39" max="41" width="8.7109375" customWidth="1"/>
    <col min="42" max="42" width="14.85546875" customWidth="1"/>
    <col min="43" max="45" width="8.7109375" customWidth="1"/>
    <col min="46" max="46" width="12.5703125" customWidth="1"/>
    <col min="47" max="49" width="8.7109375" customWidth="1"/>
    <col min="50" max="50" width="13.7109375" customWidth="1"/>
    <col min="51" max="53" width="8.7109375" customWidth="1"/>
    <col min="54" max="54" width="12.85546875" customWidth="1"/>
    <col min="55" max="57" width="8.7109375" customWidth="1"/>
    <col min="58" max="58" width="10.42578125" customWidth="1"/>
    <col min="59" max="65" width="8.7109375" customWidth="1"/>
    <col min="66" max="66" width="8.5703125" customWidth="1"/>
  </cols>
  <sheetData>
    <row r="1" spans="1:66" ht="11.25" customHeight="1" thickBot="1" x14ac:dyDescent="0.3">
      <c r="A1" s="3" t="s">
        <v>0</v>
      </c>
      <c r="B1" s="42" t="s">
        <v>1</v>
      </c>
      <c r="C1" s="43"/>
      <c r="D1" s="43"/>
      <c r="E1" s="44"/>
      <c r="F1" s="33" t="s">
        <v>2</v>
      </c>
      <c r="G1" s="34"/>
      <c r="H1" s="34"/>
      <c r="I1" s="35"/>
      <c r="J1" s="27" t="s">
        <v>3</v>
      </c>
      <c r="K1" s="28"/>
      <c r="L1" s="28"/>
      <c r="M1" s="29"/>
      <c r="N1" s="45" t="s">
        <v>4</v>
      </c>
      <c r="O1" s="46"/>
      <c r="P1" s="46"/>
      <c r="Q1" s="47"/>
      <c r="R1" s="30" t="s">
        <v>5</v>
      </c>
      <c r="S1" s="31"/>
      <c r="T1" s="31"/>
      <c r="U1" s="32"/>
      <c r="V1" s="33" t="s">
        <v>6</v>
      </c>
      <c r="W1" s="34"/>
      <c r="X1" s="34"/>
      <c r="Y1" s="35"/>
      <c r="Z1" s="27" t="s">
        <v>7</v>
      </c>
      <c r="AA1" s="28"/>
      <c r="AB1" s="28"/>
      <c r="AC1" s="29"/>
      <c r="AD1" s="24" t="s">
        <v>8</v>
      </c>
      <c r="AE1" s="25"/>
      <c r="AF1" s="25"/>
      <c r="AG1" s="26"/>
      <c r="AH1" s="36" t="s">
        <v>9</v>
      </c>
      <c r="AI1" s="37"/>
      <c r="AJ1" s="37"/>
      <c r="AK1" s="38"/>
      <c r="AL1" s="39" t="s">
        <v>10</v>
      </c>
      <c r="AM1" s="40"/>
      <c r="AN1" s="40"/>
      <c r="AO1" s="41"/>
      <c r="AP1" s="27" t="s">
        <v>11</v>
      </c>
      <c r="AQ1" s="28"/>
      <c r="AR1" s="28"/>
      <c r="AS1" s="29"/>
      <c r="AT1" s="24" t="s">
        <v>12</v>
      </c>
      <c r="AU1" s="25"/>
      <c r="AV1" s="25"/>
      <c r="AW1" s="26"/>
      <c r="AX1" s="30" t="s">
        <v>13</v>
      </c>
      <c r="AY1" s="31"/>
      <c r="AZ1" s="31"/>
      <c r="BA1" s="32"/>
      <c r="BB1" s="33" t="s">
        <v>14</v>
      </c>
      <c r="BC1" s="34"/>
      <c r="BD1" s="34"/>
      <c r="BE1" s="35"/>
      <c r="BF1" s="27" t="s">
        <v>15</v>
      </c>
      <c r="BG1" s="28"/>
      <c r="BH1" s="28"/>
      <c r="BI1" s="29"/>
      <c r="BJ1" s="24" t="s">
        <v>16</v>
      </c>
      <c r="BK1" s="25"/>
      <c r="BL1" s="25"/>
      <c r="BM1" s="26"/>
      <c r="BN1" s="5" t="s">
        <v>17</v>
      </c>
    </row>
    <row r="2" spans="1:66" s="1" customFormat="1" ht="12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19</v>
      </c>
      <c r="AA2" s="4" t="s">
        <v>20</v>
      </c>
      <c r="AB2" s="4" t="s">
        <v>21</v>
      </c>
      <c r="AC2" s="4" t="s">
        <v>22</v>
      </c>
      <c r="AD2" s="4" t="s">
        <v>19</v>
      </c>
      <c r="AE2" s="4" t="s">
        <v>20</v>
      </c>
      <c r="AF2" s="4" t="s">
        <v>21</v>
      </c>
      <c r="AG2" s="4" t="s">
        <v>22</v>
      </c>
      <c r="AH2" s="4" t="s">
        <v>19</v>
      </c>
      <c r="AI2" s="4" t="s">
        <v>20</v>
      </c>
      <c r="AJ2" s="4" t="s">
        <v>21</v>
      </c>
      <c r="AK2" s="4" t="s">
        <v>22</v>
      </c>
      <c r="AL2" s="4" t="s">
        <v>19</v>
      </c>
      <c r="AM2" s="4" t="s">
        <v>20</v>
      </c>
      <c r="AN2" s="4" t="s">
        <v>21</v>
      </c>
      <c r="AO2" s="4" t="s">
        <v>22</v>
      </c>
      <c r="AP2" s="4" t="s">
        <v>19</v>
      </c>
      <c r="AQ2" s="4" t="s">
        <v>20</v>
      </c>
      <c r="AR2" s="4" t="s">
        <v>21</v>
      </c>
      <c r="AS2" s="4" t="s">
        <v>22</v>
      </c>
      <c r="AT2" s="4" t="s">
        <v>19</v>
      </c>
      <c r="AU2" s="4" t="s">
        <v>20</v>
      </c>
      <c r="AV2" s="4" t="s">
        <v>21</v>
      </c>
      <c r="AW2" s="4" t="s">
        <v>22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19</v>
      </c>
      <c r="BC2" s="4" t="s">
        <v>20</v>
      </c>
      <c r="BD2" s="4" t="s">
        <v>21</v>
      </c>
      <c r="BE2" s="4" t="s">
        <v>22</v>
      </c>
      <c r="BF2" s="4" t="s">
        <v>19</v>
      </c>
      <c r="BG2" s="4" t="s">
        <v>20</v>
      </c>
      <c r="BH2" s="4" t="s">
        <v>21</v>
      </c>
      <c r="BI2" s="4" t="s">
        <v>22</v>
      </c>
      <c r="BJ2" s="4" t="s">
        <v>19</v>
      </c>
      <c r="BK2" s="4" t="s">
        <v>20</v>
      </c>
      <c r="BL2" s="4" t="s">
        <v>21</v>
      </c>
      <c r="BM2" s="4" t="s">
        <v>22</v>
      </c>
      <c r="BN2" s="6" t="s">
        <v>21</v>
      </c>
    </row>
    <row r="3" spans="1:66" x14ac:dyDescent="0.25">
      <c r="A3" s="2" t="s">
        <v>23</v>
      </c>
      <c r="B3" t="s">
        <v>24</v>
      </c>
      <c r="C3">
        <v>-13.5</v>
      </c>
      <c r="D3">
        <v>1</v>
      </c>
      <c r="E3">
        <v>5.5</v>
      </c>
      <c r="F3" t="s">
        <v>25</v>
      </c>
      <c r="G3">
        <v>-2.5</v>
      </c>
      <c r="H3">
        <v>1</v>
      </c>
      <c r="I3">
        <v>23.5</v>
      </c>
      <c r="J3" t="s">
        <v>26</v>
      </c>
      <c r="K3">
        <v>-20.5</v>
      </c>
      <c r="L3">
        <v>1</v>
      </c>
      <c r="M3">
        <v>3.5</v>
      </c>
      <c r="N3" t="s">
        <v>27</v>
      </c>
      <c r="O3">
        <v>-11.5</v>
      </c>
      <c r="P3">
        <v>1</v>
      </c>
      <c r="Q3">
        <v>23.5</v>
      </c>
      <c r="R3" t="s">
        <v>28</v>
      </c>
      <c r="S3">
        <v>-2.5</v>
      </c>
      <c r="T3">
        <v>0</v>
      </c>
      <c r="U3">
        <v>-5.5</v>
      </c>
      <c r="V3" t="s">
        <v>29</v>
      </c>
      <c r="W3">
        <v>-3.5</v>
      </c>
      <c r="X3">
        <v>1</v>
      </c>
      <c r="Y3">
        <v>10.5</v>
      </c>
      <c r="Z3" t="s">
        <v>30</v>
      </c>
      <c r="AA3">
        <v>-7.5</v>
      </c>
      <c r="AB3">
        <v>1</v>
      </c>
      <c r="AC3">
        <v>9.5</v>
      </c>
      <c r="AD3" t="s">
        <v>31</v>
      </c>
      <c r="AE3">
        <v>2.5</v>
      </c>
      <c r="AF3">
        <v>0</v>
      </c>
      <c r="AG3">
        <v>-4.5</v>
      </c>
      <c r="AH3" t="s">
        <v>32</v>
      </c>
      <c r="AI3">
        <v>-13.5</v>
      </c>
      <c r="AJ3">
        <v>0</v>
      </c>
      <c r="AK3">
        <v>-2.5</v>
      </c>
      <c r="AL3" t="s">
        <v>33</v>
      </c>
      <c r="AM3">
        <v>-3.5</v>
      </c>
      <c r="AN3">
        <v>1</v>
      </c>
      <c r="AO3">
        <v>23.5</v>
      </c>
      <c r="AP3" t="s">
        <v>34</v>
      </c>
      <c r="AQ3">
        <v>-13.5</v>
      </c>
      <c r="AR3">
        <v>0</v>
      </c>
      <c r="AS3">
        <v>-10.5</v>
      </c>
      <c r="AT3" t="s">
        <v>35</v>
      </c>
      <c r="AU3">
        <v>13.5</v>
      </c>
      <c r="AV3">
        <v>0</v>
      </c>
      <c r="AW3">
        <v>-8.5</v>
      </c>
      <c r="AX3" t="s">
        <v>36</v>
      </c>
      <c r="AY3">
        <v>-5.5</v>
      </c>
      <c r="AZ3">
        <v>1</v>
      </c>
      <c r="BA3">
        <v>3.5</v>
      </c>
      <c r="BB3" t="s">
        <v>26</v>
      </c>
      <c r="BC3">
        <v>-5.5</v>
      </c>
      <c r="BD3">
        <v>1</v>
      </c>
      <c r="BE3">
        <v>1.5</v>
      </c>
      <c r="BF3" s="2" t="s">
        <v>28</v>
      </c>
      <c r="BG3" s="2">
        <v>-1.5</v>
      </c>
      <c r="BH3">
        <v>2</v>
      </c>
      <c r="BI3">
        <v>19.5</v>
      </c>
      <c r="BN3" s="7">
        <f>SUM(D3,H3,L3,P3,T3,X3,AB3,AF3,AJ3,AN3,AR3,AV3,AZ3,BD3,BH3,BL3)</f>
        <v>11</v>
      </c>
    </row>
    <row r="4" spans="1:66" x14ac:dyDescent="0.25">
      <c r="A4" s="2" t="s">
        <v>37</v>
      </c>
      <c r="B4" t="s">
        <v>38</v>
      </c>
      <c r="C4">
        <v>14.5</v>
      </c>
      <c r="D4">
        <v>1</v>
      </c>
      <c r="E4">
        <v>28.5</v>
      </c>
      <c r="F4" t="s">
        <v>39</v>
      </c>
      <c r="G4">
        <v>-22.5</v>
      </c>
      <c r="H4">
        <v>0</v>
      </c>
      <c r="I4">
        <v>-8.5</v>
      </c>
      <c r="J4" t="s">
        <v>40</v>
      </c>
      <c r="K4">
        <v>-27.5</v>
      </c>
      <c r="L4">
        <v>1</v>
      </c>
      <c r="M4">
        <v>14.5</v>
      </c>
      <c r="N4" t="s">
        <v>41</v>
      </c>
      <c r="O4">
        <v>-2.5</v>
      </c>
      <c r="P4">
        <v>1</v>
      </c>
      <c r="Q4">
        <v>9.5</v>
      </c>
      <c r="R4" t="s">
        <v>42</v>
      </c>
      <c r="S4">
        <v>14.5</v>
      </c>
      <c r="T4">
        <v>0</v>
      </c>
      <c r="U4">
        <v>-14.5</v>
      </c>
      <c r="V4" t="s">
        <v>39</v>
      </c>
      <c r="W4">
        <v>1.5</v>
      </c>
      <c r="X4">
        <v>1</v>
      </c>
      <c r="Y4">
        <v>9.5</v>
      </c>
      <c r="Z4" t="s">
        <v>43</v>
      </c>
      <c r="AA4">
        <v>3.5</v>
      </c>
      <c r="AB4">
        <v>0</v>
      </c>
      <c r="AC4">
        <v>-33.5</v>
      </c>
      <c r="AD4" t="s">
        <v>44</v>
      </c>
      <c r="AE4">
        <v>4.5</v>
      </c>
      <c r="AF4">
        <v>0</v>
      </c>
      <c r="AG4">
        <v>-12.5</v>
      </c>
      <c r="AH4" t="s">
        <v>45</v>
      </c>
      <c r="AI4">
        <v>-2.5</v>
      </c>
      <c r="AJ4">
        <v>0</v>
      </c>
      <c r="AK4">
        <v>-16.5</v>
      </c>
      <c r="AL4" t="s">
        <v>46</v>
      </c>
      <c r="AM4">
        <v>4.5</v>
      </c>
      <c r="AN4">
        <v>1</v>
      </c>
      <c r="AO4">
        <v>0.5</v>
      </c>
      <c r="AP4" t="s">
        <v>47</v>
      </c>
      <c r="AQ4">
        <v>3.5</v>
      </c>
      <c r="AR4">
        <v>1</v>
      </c>
      <c r="AS4">
        <v>34.5</v>
      </c>
      <c r="AT4" t="s">
        <v>48</v>
      </c>
      <c r="AU4">
        <v>6.5</v>
      </c>
      <c r="AV4">
        <v>1</v>
      </c>
      <c r="AW4">
        <v>8.5</v>
      </c>
      <c r="AX4" t="s">
        <v>49</v>
      </c>
      <c r="AY4">
        <v>-3.5</v>
      </c>
      <c r="AZ4">
        <v>1</v>
      </c>
      <c r="BA4">
        <v>13.5</v>
      </c>
      <c r="BB4" t="s">
        <v>26</v>
      </c>
      <c r="BC4">
        <v>-5.5</v>
      </c>
      <c r="BD4">
        <v>1</v>
      </c>
      <c r="BE4">
        <v>1.5</v>
      </c>
      <c r="BF4" s="2" t="s">
        <v>28</v>
      </c>
      <c r="BG4" s="2">
        <v>-1.5</v>
      </c>
      <c r="BH4">
        <v>2</v>
      </c>
      <c r="BI4">
        <v>19.5</v>
      </c>
      <c r="BN4" s="7">
        <f t="shared" ref="BN3:BN37" si="0">SUM(D4,H4,L4,P4,T4,X4,AB4,AF4,AJ4,AN4,AR4,AV4,AZ4,BD4,BH4,BL4)</f>
        <v>11</v>
      </c>
    </row>
    <row r="5" spans="1:66" x14ac:dyDescent="0.25">
      <c r="A5" s="2" t="s">
        <v>50</v>
      </c>
      <c r="B5" t="s">
        <v>51</v>
      </c>
      <c r="C5">
        <v>-4.5</v>
      </c>
      <c r="D5">
        <v>0</v>
      </c>
      <c r="E5">
        <v>-11.5</v>
      </c>
      <c r="F5" t="s">
        <v>40</v>
      </c>
      <c r="G5">
        <v>-5.5</v>
      </c>
      <c r="H5">
        <v>1</v>
      </c>
      <c r="I5">
        <v>5.5</v>
      </c>
      <c r="J5" t="s">
        <v>45</v>
      </c>
      <c r="K5">
        <v>-21.5</v>
      </c>
      <c r="L5">
        <v>0</v>
      </c>
      <c r="M5">
        <v>-13.5</v>
      </c>
      <c r="N5" t="s">
        <v>52</v>
      </c>
      <c r="O5">
        <v>-7.5</v>
      </c>
      <c r="P5">
        <v>0</v>
      </c>
      <c r="Q5">
        <v>-8.5</v>
      </c>
      <c r="R5" t="s">
        <v>53</v>
      </c>
      <c r="S5">
        <v>3.5</v>
      </c>
      <c r="T5">
        <v>1</v>
      </c>
      <c r="U5">
        <v>9.5</v>
      </c>
      <c r="V5" t="s">
        <v>54</v>
      </c>
      <c r="W5">
        <v>11.5</v>
      </c>
      <c r="X5">
        <v>0</v>
      </c>
      <c r="Y5">
        <v>-4.5</v>
      </c>
      <c r="Z5" t="s">
        <v>30</v>
      </c>
      <c r="AA5">
        <v>-6.5</v>
      </c>
      <c r="AB5">
        <v>1</v>
      </c>
      <c r="AC5">
        <v>10.5</v>
      </c>
      <c r="AD5" t="s">
        <v>55</v>
      </c>
      <c r="AE5">
        <v>-24.5</v>
      </c>
      <c r="AF5">
        <v>1</v>
      </c>
      <c r="AG5">
        <v>9.5</v>
      </c>
      <c r="AH5" t="s">
        <v>27</v>
      </c>
      <c r="AI5">
        <v>5.5</v>
      </c>
      <c r="AJ5">
        <v>1</v>
      </c>
      <c r="AK5">
        <v>13.5</v>
      </c>
      <c r="AL5" t="s">
        <v>28</v>
      </c>
      <c r="AM5">
        <v>-6.5</v>
      </c>
      <c r="AN5">
        <v>0</v>
      </c>
      <c r="AO5">
        <v>-2.5</v>
      </c>
      <c r="AP5" t="s">
        <v>54</v>
      </c>
      <c r="AQ5">
        <v>-5.5</v>
      </c>
      <c r="AR5">
        <v>1</v>
      </c>
      <c r="AS5">
        <v>1.5</v>
      </c>
      <c r="AT5" t="s">
        <v>56</v>
      </c>
      <c r="AU5">
        <v>-2.5</v>
      </c>
      <c r="AV5">
        <v>1</v>
      </c>
      <c r="AW5">
        <v>28.5</v>
      </c>
      <c r="AX5" t="s">
        <v>56</v>
      </c>
      <c r="AY5">
        <v>-2.5</v>
      </c>
      <c r="AZ5">
        <v>1</v>
      </c>
      <c r="BA5">
        <v>9.5</v>
      </c>
      <c r="BB5" s="2" t="s">
        <v>26</v>
      </c>
      <c r="BC5" s="2">
        <v>-5.5</v>
      </c>
      <c r="BD5">
        <v>2</v>
      </c>
      <c r="BE5">
        <v>1.5</v>
      </c>
      <c r="BF5" t="s">
        <v>56</v>
      </c>
      <c r="BG5">
        <v>12.5</v>
      </c>
      <c r="BH5">
        <v>0</v>
      </c>
      <c r="BI5">
        <v>-14.5</v>
      </c>
      <c r="BN5" s="7">
        <f t="shared" si="0"/>
        <v>10</v>
      </c>
    </row>
    <row r="6" spans="1:66" x14ac:dyDescent="0.25">
      <c r="A6" s="2" t="s">
        <v>57</v>
      </c>
      <c r="B6" s="2" t="s">
        <v>31</v>
      </c>
      <c r="C6" s="2">
        <v>4</v>
      </c>
      <c r="D6" s="2">
        <v>2</v>
      </c>
      <c r="E6">
        <v>11</v>
      </c>
      <c r="F6" t="s">
        <v>48</v>
      </c>
      <c r="G6">
        <v>-5.5</v>
      </c>
      <c r="H6">
        <v>1</v>
      </c>
      <c r="I6">
        <v>5.5</v>
      </c>
      <c r="J6" t="s">
        <v>48</v>
      </c>
      <c r="K6">
        <v>-23.5</v>
      </c>
      <c r="L6">
        <v>1</v>
      </c>
      <c r="M6">
        <v>15.5</v>
      </c>
      <c r="N6" t="s">
        <v>34</v>
      </c>
      <c r="O6">
        <v>-6.5</v>
      </c>
      <c r="P6">
        <v>1</v>
      </c>
      <c r="Q6">
        <v>46.5</v>
      </c>
      <c r="R6" t="s">
        <v>58</v>
      </c>
      <c r="S6" t="s">
        <v>59</v>
      </c>
      <c r="T6">
        <v>0</v>
      </c>
      <c r="U6">
        <v>-5.5</v>
      </c>
      <c r="V6" t="s">
        <v>60</v>
      </c>
      <c r="W6">
        <v>3.5</v>
      </c>
      <c r="X6">
        <v>0</v>
      </c>
      <c r="Y6">
        <v>-3.5</v>
      </c>
      <c r="Z6" t="s">
        <v>34</v>
      </c>
      <c r="AA6">
        <v>7.5</v>
      </c>
      <c r="AB6">
        <v>1</v>
      </c>
      <c r="AC6">
        <v>17.5</v>
      </c>
      <c r="AD6" t="s">
        <v>31</v>
      </c>
      <c r="AE6">
        <v>1.5</v>
      </c>
      <c r="AF6">
        <v>0</v>
      </c>
      <c r="AG6">
        <v>-5.5</v>
      </c>
      <c r="AH6" t="s">
        <v>48</v>
      </c>
      <c r="AI6">
        <v>-5.5</v>
      </c>
      <c r="AJ6">
        <v>0</v>
      </c>
      <c r="AK6">
        <v>-13.5</v>
      </c>
      <c r="AL6" t="s">
        <v>61</v>
      </c>
      <c r="AM6">
        <v>-7.5</v>
      </c>
      <c r="AN6">
        <v>1</v>
      </c>
      <c r="AO6">
        <v>15.5</v>
      </c>
      <c r="AP6" t="s">
        <v>62</v>
      </c>
      <c r="AQ6">
        <v>1.5</v>
      </c>
      <c r="AR6">
        <v>0</v>
      </c>
      <c r="AS6">
        <v>-5.5</v>
      </c>
      <c r="AT6" t="s">
        <v>31</v>
      </c>
      <c r="AU6">
        <v>-4.5</v>
      </c>
      <c r="AV6">
        <v>0</v>
      </c>
      <c r="AW6">
        <v>-3.5</v>
      </c>
      <c r="AX6" t="s">
        <v>26</v>
      </c>
      <c r="AY6">
        <v>-49.5</v>
      </c>
      <c r="AZ6">
        <v>1</v>
      </c>
      <c r="BA6">
        <v>6.5</v>
      </c>
      <c r="BB6" t="s">
        <v>63</v>
      </c>
      <c r="BC6">
        <v>-6.5</v>
      </c>
      <c r="BD6">
        <v>1</v>
      </c>
      <c r="BE6">
        <v>24.5</v>
      </c>
      <c r="BF6" t="s">
        <v>64</v>
      </c>
      <c r="BG6">
        <v>-5.5</v>
      </c>
      <c r="BH6">
        <v>1</v>
      </c>
      <c r="BI6">
        <v>11.5</v>
      </c>
      <c r="BN6" s="7">
        <f t="shared" si="0"/>
        <v>10</v>
      </c>
    </row>
    <row r="7" spans="1:66" x14ac:dyDescent="0.25">
      <c r="A7" s="2" t="s">
        <v>65</v>
      </c>
      <c r="B7" t="s">
        <v>66</v>
      </c>
      <c r="C7">
        <v>-6</v>
      </c>
      <c r="D7">
        <v>1</v>
      </c>
      <c r="E7">
        <v>27</v>
      </c>
      <c r="F7" t="s">
        <v>41</v>
      </c>
      <c r="G7">
        <v>3.5</v>
      </c>
      <c r="H7">
        <v>0</v>
      </c>
      <c r="I7">
        <v>-22.5</v>
      </c>
      <c r="J7" t="s">
        <v>28</v>
      </c>
      <c r="K7">
        <v>-3.5</v>
      </c>
      <c r="L7">
        <v>0</v>
      </c>
      <c r="M7">
        <v>-0.5</v>
      </c>
      <c r="N7" t="s">
        <v>67</v>
      </c>
      <c r="O7">
        <v>-41.5</v>
      </c>
      <c r="P7">
        <v>1</v>
      </c>
      <c r="Q7">
        <v>13.5</v>
      </c>
      <c r="R7" t="s">
        <v>55</v>
      </c>
      <c r="S7">
        <v>-7.5</v>
      </c>
      <c r="T7">
        <v>1</v>
      </c>
      <c r="U7">
        <v>10.5</v>
      </c>
      <c r="V7" t="s">
        <v>68</v>
      </c>
      <c r="W7" t="s">
        <v>69</v>
      </c>
      <c r="X7">
        <v>1</v>
      </c>
      <c r="Y7">
        <v>9.5</v>
      </c>
      <c r="Z7" t="s">
        <v>70</v>
      </c>
      <c r="AA7" t="s">
        <v>69</v>
      </c>
      <c r="AB7">
        <v>1</v>
      </c>
      <c r="AC7">
        <v>14.5</v>
      </c>
      <c r="AD7" t="s">
        <v>67</v>
      </c>
      <c r="AE7">
        <v>-12.5</v>
      </c>
      <c r="AF7">
        <v>0</v>
      </c>
      <c r="AG7">
        <v>-9.5</v>
      </c>
      <c r="AH7" t="s">
        <v>71</v>
      </c>
      <c r="AI7">
        <v>-10.5</v>
      </c>
      <c r="AJ7">
        <v>0</v>
      </c>
      <c r="AK7">
        <v>-9.5</v>
      </c>
      <c r="AL7" t="s">
        <v>72</v>
      </c>
      <c r="AM7">
        <v>20.5</v>
      </c>
      <c r="AN7">
        <v>0</v>
      </c>
      <c r="AO7">
        <v>-3.5</v>
      </c>
      <c r="AP7" t="s">
        <v>73</v>
      </c>
      <c r="AQ7">
        <v>30.5</v>
      </c>
      <c r="AR7">
        <v>1</v>
      </c>
      <c r="AS7">
        <v>6.5</v>
      </c>
      <c r="AT7" t="s">
        <v>74</v>
      </c>
      <c r="AU7" t="s">
        <v>75</v>
      </c>
      <c r="AV7">
        <v>1</v>
      </c>
      <c r="AW7">
        <v>3.5</v>
      </c>
      <c r="AX7" s="2" t="s">
        <v>67</v>
      </c>
      <c r="AY7" s="2">
        <v>-9.5</v>
      </c>
      <c r="AZ7">
        <v>2</v>
      </c>
      <c r="BA7">
        <v>5.5</v>
      </c>
      <c r="BB7" t="s">
        <v>24</v>
      </c>
      <c r="BC7">
        <v>-2.5</v>
      </c>
      <c r="BD7">
        <v>0</v>
      </c>
      <c r="BE7">
        <v>-23.5</v>
      </c>
      <c r="BF7" t="s">
        <v>34</v>
      </c>
      <c r="BG7">
        <v>4</v>
      </c>
      <c r="BH7">
        <v>1</v>
      </c>
      <c r="BI7">
        <v>7</v>
      </c>
      <c r="BN7" s="7">
        <f t="shared" si="0"/>
        <v>10</v>
      </c>
    </row>
    <row r="8" spans="1:66" x14ac:dyDescent="0.25">
      <c r="A8" s="2" t="s">
        <v>76</v>
      </c>
      <c r="B8" t="s">
        <v>46</v>
      </c>
      <c r="C8">
        <v>-7</v>
      </c>
      <c r="D8">
        <v>0</v>
      </c>
      <c r="E8">
        <v>-4</v>
      </c>
      <c r="F8" t="s">
        <v>77</v>
      </c>
      <c r="G8">
        <v>5.5</v>
      </c>
      <c r="H8">
        <v>1</v>
      </c>
      <c r="I8">
        <v>10.5</v>
      </c>
      <c r="J8" t="s">
        <v>78</v>
      </c>
      <c r="K8">
        <v>9.5</v>
      </c>
      <c r="L8">
        <v>1</v>
      </c>
      <c r="M8">
        <v>12.5</v>
      </c>
      <c r="N8" t="s">
        <v>52</v>
      </c>
      <c r="O8">
        <v>-7.5</v>
      </c>
      <c r="P8">
        <v>0</v>
      </c>
      <c r="Q8">
        <v>-8.5</v>
      </c>
      <c r="R8" t="s">
        <v>79</v>
      </c>
      <c r="S8">
        <v>7.5</v>
      </c>
      <c r="T8">
        <v>1</v>
      </c>
      <c r="U8">
        <v>0.5</v>
      </c>
      <c r="V8" t="s">
        <v>63</v>
      </c>
      <c r="W8">
        <v>-4.5</v>
      </c>
      <c r="X8">
        <v>1</v>
      </c>
      <c r="Y8">
        <v>1.5</v>
      </c>
      <c r="Z8" t="s">
        <v>34</v>
      </c>
      <c r="AA8">
        <v>7.5</v>
      </c>
      <c r="AB8">
        <v>1</v>
      </c>
      <c r="AC8">
        <v>17.5</v>
      </c>
      <c r="AD8" t="s">
        <v>61</v>
      </c>
      <c r="AE8">
        <v>-7.5</v>
      </c>
      <c r="AF8">
        <v>0</v>
      </c>
      <c r="AG8">
        <v>-11.5</v>
      </c>
      <c r="AH8" t="s">
        <v>79</v>
      </c>
      <c r="AI8">
        <v>6.5</v>
      </c>
      <c r="AJ8">
        <v>0</v>
      </c>
      <c r="AK8">
        <v>-0.5</v>
      </c>
      <c r="AL8" s="2" t="s">
        <v>54</v>
      </c>
      <c r="AM8" s="2">
        <v>3.5</v>
      </c>
      <c r="AN8" s="2">
        <v>2</v>
      </c>
      <c r="AO8">
        <v>0.5</v>
      </c>
      <c r="AP8" t="s">
        <v>54</v>
      </c>
      <c r="AQ8">
        <v>-6.5</v>
      </c>
      <c r="AR8">
        <v>1</v>
      </c>
      <c r="AS8">
        <v>0.5</v>
      </c>
      <c r="AT8" t="s">
        <v>26</v>
      </c>
      <c r="AU8">
        <v>-6.5</v>
      </c>
      <c r="AV8">
        <v>0</v>
      </c>
      <c r="AW8">
        <v>-8.5</v>
      </c>
      <c r="AX8" t="s">
        <v>80</v>
      </c>
      <c r="AY8">
        <v>2.5</v>
      </c>
      <c r="AZ8">
        <v>1</v>
      </c>
      <c r="BA8">
        <v>36.5</v>
      </c>
      <c r="BB8" t="s">
        <v>81</v>
      </c>
      <c r="BC8">
        <v>1.5</v>
      </c>
      <c r="BD8">
        <v>0</v>
      </c>
      <c r="BE8">
        <v>-14.5</v>
      </c>
      <c r="BF8" t="s">
        <v>71</v>
      </c>
      <c r="BG8">
        <v>-4</v>
      </c>
      <c r="BH8">
        <v>0</v>
      </c>
      <c r="BI8">
        <v>-11</v>
      </c>
      <c r="BJ8" s="23"/>
      <c r="BK8" s="23"/>
      <c r="BL8" s="23"/>
      <c r="BM8" s="23"/>
      <c r="BN8" s="7">
        <f t="shared" si="0"/>
        <v>9</v>
      </c>
    </row>
    <row r="9" spans="1:66" x14ac:dyDescent="0.25">
      <c r="A9" s="2" t="s">
        <v>82</v>
      </c>
      <c r="B9" t="s">
        <v>83</v>
      </c>
      <c r="C9">
        <v>-4.5</v>
      </c>
      <c r="D9">
        <v>1</v>
      </c>
      <c r="E9">
        <v>15.5</v>
      </c>
      <c r="F9" t="s">
        <v>84</v>
      </c>
      <c r="G9">
        <v>-6.5</v>
      </c>
      <c r="H9">
        <v>1</v>
      </c>
      <c r="I9">
        <v>0.5</v>
      </c>
      <c r="J9" t="s">
        <v>25</v>
      </c>
      <c r="K9">
        <v>-27.5</v>
      </c>
      <c r="L9">
        <v>1</v>
      </c>
      <c r="M9">
        <v>10.5</v>
      </c>
      <c r="N9" t="s">
        <v>33</v>
      </c>
      <c r="O9">
        <v>-2.5</v>
      </c>
      <c r="P9">
        <v>0</v>
      </c>
      <c r="Q9">
        <v>-5.5</v>
      </c>
      <c r="R9" t="s">
        <v>28</v>
      </c>
      <c r="S9">
        <v>-2.5</v>
      </c>
      <c r="T9">
        <v>0</v>
      </c>
      <c r="U9">
        <v>-5.5</v>
      </c>
      <c r="V9" t="s">
        <v>29</v>
      </c>
      <c r="W9">
        <v>-3.5</v>
      </c>
      <c r="X9">
        <v>1</v>
      </c>
      <c r="Y9">
        <v>10.5</v>
      </c>
      <c r="Z9" t="s">
        <v>81</v>
      </c>
      <c r="AA9">
        <v>9.5</v>
      </c>
      <c r="AB9">
        <v>0</v>
      </c>
      <c r="AC9">
        <v>-22.5</v>
      </c>
      <c r="AD9" t="s">
        <v>85</v>
      </c>
      <c r="AE9">
        <v>-1.5</v>
      </c>
      <c r="AF9">
        <v>0</v>
      </c>
      <c r="AG9">
        <v>-4.5</v>
      </c>
      <c r="AH9" t="s">
        <v>56</v>
      </c>
      <c r="AI9">
        <v>2.5</v>
      </c>
      <c r="AJ9">
        <v>1</v>
      </c>
      <c r="AK9">
        <v>16.5</v>
      </c>
      <c r="AL9" t="s">
        <v>86</v>
      </c>
      <c r="AM9">
        <v>-7.5</v>
      </c>
      <c r="AN9">
        <v>0</v>
      </c>
      <c r="AO9">
        <v>-20.5</v>
      </c>
      <c r="AP9" t="s">
        <v>44</v>
      </c>
      <c r="AQ9">
        <v>-10.5</v>
      </c>
      <c r="AR9">
        <v>0</v>
      </c>
      <c r="AS9">
        <v>-13.5</v>
      </c>
      <c r="AT9" s="2" t="s">
        <v>28</v>
      </c>
      <c r="AU9" s="2">
        <v>-6.5</v>
      </c>
      <c r="AV9">
        <v>2</v>
      </c>
      <c r="AW9">
        <v>18.5</v>
      </c>
      <c r="AX9" t="s">
        <v>87</v>
      </c>
      <c r="AY9" t="s">
        <v>88</v>
      </c>
      <c r="AZ9">
        <v>1</v>
      </c>
      <c r="BA9">
        <v>31.5</v>
      </c>
      <c r="BB9" t="s">
        <v>63</v>
      </c>
      <c r="BC9">
        <v>-6.5</v>
      </c>
      <c r="BD9">
        <v>1</v>
      </c>
      <c r="BE9">
        <v>24.5</v>
      </c>
      <c r="BF9" t="s">
        <v>89</v>
      </c>
      <c r="BG9">
        <v>4.5</v>
      </c>
      <c r="BH9">
        <v>0</v>
      </c>
      <c r="BI9">
        <v>-12.5</v>
      </c>
      <c r="BJ9" s="23"/>
      <c r="BK9" s="23"/>
      <c r="BL9" s="23"/>
      <c r="BM9" s="23"/>
      <c r="BN9" s="7">
        <f t="shared" si="0"/>
        <v>9</v>
      </c>
    </row>
    <row r="10" spans="1:66" x14ac:dyDescent="0.25">
      <c r="A10" s="2" t="s">
        <v>90</v>
      </c>
      <c r="B10" t="s">
        <v>66</v>
      </c>
      <c r="C10">
        <v>-6</v>
      </c>
      <c r="D10">
        <v>1</v>
      </c>
      <c r="E10">
        <v>27</v>
      </c>
      <c r="F10" t="s">
        <v>91</v>
      </c>
      <c r="G10">
        <v>-3.5</v>
      </c>
      <c r="H10">
        <v>0</v>
      </c>
      <c r="I10">
        <v>-10.5</v>
      </c>
      <c r="J10" t="s">
        <v>52</v>
      </c>
      <c r="K10">
        <v>9.5</v>
      </c>
      <c r="L10">
        <v>1</v>
      </c>
      <c r="M10">
        <v>0.5</v>
      </c>
      <c r="N10" t="s">
        <v>29</v>
      </c>
      <c r="O10">
        <v>-2.5</v>
      </c>
      <c r="P10">
        <v>1</v>
      </c>
      <c r="Q10">
        <v>0.5</v>
      </c>
      <c r="R10" t="s">
        <v>92</v>
      </c>
      <c r="S10">
        <v>-4.5</v>
      </c>
      <c r="T10">
        <v>1</v>
      </c>
      <c r="U10">
        <v>14.5</v>
      </c>
      <c r="V10" t="s">
        <v>93</v>
      </c>
      <c r="W10">
        <v>-1.5</v>
      </c>
      <c r="X10">
        <v>1</v>
      </c>
      <c r="Y10">
        <v>2.5</v>
      </c>
      <c r="Z10" t="s">
        <v>83</v>
      </c>
      <c r="AA10">
        <v>-6.5</v>
      </c>
      <c r="AB10">
        <v>1</v>
      </c>
      <c r="AC10">
        <v>0.5</v>
      </c>
      <c r="AD10" t="s">
        <v>29</v>
      </c>
      <c r="AE10">
        <v>10.5</v>
      </c>
      <c r="AF10">
        <v>0</v>
      </c>
      <c r="AG10">
        <v>-14.5</v>
      </c>
      <c r="AH10" t="s">
        <v>52</v>
      </c>
      <c r="AI10">
        <v>-2.5</v>
      </c>
      <c r="AJ10">
        <v>0</v>
      </c>
      <c r="AK10">
        <v>-11.5</v>
      </c>
      <c r="AL10" t="s">
        <v>83</v>
      </c>
      <c r="AM10">
        <v>-3.5</v>
      </c>
      <c r="AN10">
        <v>0</v>
      </c>
      <c r="AO10">
        <v>-25.5</v>
      </c>
      <c r="AP10" t="s">
        <v>94</v>
      </c>
      <c r="AQ10">
        <v>-1.5</v>
      </c>
      <c r="AR10">
        <v>1</v>
      </c>
      <c r="AS10">
        <v>1.5</v>
      </c>
      <c r="AT10" t="s">
        <v>95</v>
      </c>
      <c r="AU10">
        <v>-3.5</v>
      </c>
      <c r="AV10">
        <v>0</v>
      </c>
      <c r="AW10">
        <v>-4.5</v>
      </c>
      <c r="AX10" t="s">
        <v>96</v>
      </c>
      <c r="AY10">
        <v>-2.5</v>
      </c>
      <c r="AZ10">
        <v>0</v>
      </c>
      <c r="BA10">
        <v>-6.5</v>
      </c>
      <c r="BB10" s="2" t="s">
        <v>53</v>
      </c>
      <c r="BC10" s="2">
        <v>-6.5</v>
      </c>
      <c r="BD10">
        <v>2</v>
      </c>
      <c r="BE10">
        <v>5.5</v>
      </c>
      <c r="BF10" t="s">
        <v>97</v>
      </c>
      <c r="BG10" t="s">
        <v>98</v>
      </c>
      <c r="BH10">
        <v>0</v>
      </c>
      <c r="BI10">
        <v>-1.5</v>
      </c>
      <c r="BJ10" s="23"/>
      <c r="BK10" s="23"/>
      <c r="BL10" s="23"/>
      <c r="BM10" s="23"/>
      <c r="BN10" s="7">
        <f t="shared" si="0"/>
        <v>9</v>
      </c>
    </row>
    <row r="11" spans="1:66" x14ac:dyDescent="0.25">
      <c r="A11" s="2" t="s">
        <v>99</v>
      </c>
      <c r="B11" t="s">
        <v>26</v>
      </c>
      <c r="C11">
        <v>-13.5</v>
      </c>
      <c r="D11">
        <v>0</v>
      </c>
      <c r="E11">
        <v>-27.5</v>
      </c>
      <c r="F11" t="s">
        <v>47</v>
      </c>
      <c r="G11">
        <v>10.5</v>
      </c>
      <c r="H11">
        <v>1</v>
      </c>
      <c r="I11">
        <v>3.5</v>
      </c>
      <c r="J11" t="s">
        <v>100</v>
      </c>
      <c r="K11">
        <v>-5.5</v>
      </c>
      <c r="L11">
        <v>0</v>
      </c>
      <c r="M11">
        <v>-29.5</v>
      </c>
      <c r="N11" t="s">
        <v>53</v>
      </c>
      <c r="O11">
        <v>-34.5</v>
      </c>
      <c r="P11">
        <v>0</v>
      </c>
      <c r="Q11">
        <v>-0.5</v>
      </c>
      <c r="R11" s="2" t="s">
        <v>53</v>
      </c>
      <c r="S11" s="2">
        <v>3.5</v>
      </c>
      <c r="T11" s="2">
        <v>2</v>
      </c>
      <c r="U11">
        <v>9.5</v>
      </c>
      <c r="V11" t="s">
        <v>32</v>
      </c>
      <c r="W11">
        <v>-16.5</v>
      </c>
      <c r="X11">
        <v>0</v>
      </c>
      <c r="Y11">
        <v>-2.5</v>
      </c>
      <c r="Z11" t="s">
        <v>61</v>
      </c>
      <c r="AA11">
        <v>-13.5</v>
      </c>
      <c r="AB11">
        <v>1</v>
      </c>
      <c r="AC11">
        <v>11.5</v>
      </c>
      <c r="AD11" t="s">
        <v>54</v>
      </c>
      <c r="AE11">
        <v>-2.5</v>
      </c>
      <c r="AF11">
        <v>1</v>
      </c>
      <c r="AG11">
        <v>4.5</v>
      </c>
      <c r="AH11" t="s">
        <v>44</v>
      </c>
      <c r="AI11">
        <v>-4.5</v>
      </c>
      <c r="AJ11">
        <v>1</v>
      </c>
      <c r="AK11">
        <v>12.5</v>
      </c>
      <c r="AL11" t="s">
        <v>24</v>
      </c>
      <c r="AM11">
        <v>-2.5</v>
      </c>
      <c r="AN11">
        <v>0</v>
      </c>
      <c r="AO11">
        <v>-8.5</v>
      </c>
      <c r="AP11" t="s">
        <v>61</v>
      </c>
      <c r="AQ11">
        <v>-9.5</v>
      </c>
      <c r="AR11">
        <v>1</v>
      </c>
      <c r="AS11">
        <v>12.5</v>
      </c>
      <c r="AT11" t="s">
        <v>67</v>
      </c>
      <c r="AU11">
        <v>6.5</v>
      </c>
      <c r="AV11">
        <v>0</v>
      </c>
      <c r="AW11">
        <v>-18.5</v>
      </c>
      <c r="AX11" t="s">
        <v>53</v>
      </c>
      <c r="AY11">
        <v>-9.5</v>
      </c>
      <c r="AZ11">
        <v>1</v>
      </c>
      <c r="BA11">
        <v>5.5</v>
      </c>
      <c r="BB11" t="s">
        <v>101</v>
      </c>
      <c r="BC11">
        <v>7.5</v>
      </c>
      <c r="BD11">
        <v>0</v>
      </c>
      <c r="BE11">
        <v>-11.5</v>
      </c>
      <c r="BF11" t="s">
        <v>61</v>
      </c>
      <c r="BG11">
        <v>-12.5</v>
      </c>
      <c r="BH11">
        <v>1</v>
      </c>
      <c r="BI11">
        <v>14.5</v>
      </c>
      <c r="BJ11" s="23"/>
      <c r="BK11" s="23"/>
      <c r="BL11" s="23"/>
      <c r="BM11" s="23"/>
      <c r="BN11" s="7">
        <f t="shared" si="0"/>
        <v>9</v>
      </c>
    </row>
    <row r="12" spans="1:66" x14ac:dyDescent="0.25">
      <c r="A12" s="2" t="s">
        <v>102</v>
      </c>
      <c r="B12" t="s">
        <v>103</v>
      </c>
      <c r="C12">
        <v>-2.5</v>
      </c>
      <c r="D12">
        <v>1</v>
      </c>
      <c r="E12">
        <v>11.5</v>
      </c>
      <c r="F12" t="s">
        <v>104</v>
      </c>
      <c r="G12" t="s">
        <v>105</v>
      </c>
      <c r="H12">
        <v>1</v>
      </c>
      <c r="I12">
        <v>13.5</v>
      </c>
      <c r="J12" t="s">
        <v>45</v>
      </c>
      <c r="K12">
        <v>-20.5</v>
      </c>
      <c r="L12">
        <v>0</v>
      </c>
      <c r="M12">
        <v>-12.5</v>
      </c>
      <c r="N12" t="s">
        <v>46</v>
      </c>
      <c r="O12">
        <v>1.5</v>
      </c>
      <c r="P12">
        <v>0</v>
      </c>
      <c r="Q12">
        <v>-1.5</v>
      </c>
      <c r="R12" s="2" t="s">
        <v>106</v>
      </c>
      <c r="S12" s="2">
        <v>-4.5</v>
      </c>
      <c r="T12" s="2">
        <v>2</v>
      </c>
      <c r="U12">
        <v>38.5</v>
      </c>
      <c r="V12" t="s">
        <v>95</v>
      </c>
      <c r="W12">
        <v>-6.5</v>
      </c>
      <c r="X12">
        <v>0</v>
      </c>
      <c r="Y12">
        <v>-9.5</v>
      </c>
      <c r="Z12" t="s">
        <v>107</v>
      </c>
      <c r="AA12">
        <v>-2.5</v>
      </c>
      <c r="AB12">
        <v>1</v>
      </c>
      <c r="AC12">
        <v>15.5</v>
      </c>
      <c r="AD12" t="s">
        <v>63</v>
      </c>
      <c r="AE12">
        <v>-12.5</v>
      </c>
      <c r="AF12">
        <v>0</v>
      </c>
      <c r="AG12">
        <v>-15.5</v>
      </c>
      <c r="AH12" t="s">
        <v>45</v>
      </c>
      <c r="AI12">
        <v>-2.5</v>
      </c>
      <c r="AJ12">
        <v>0</v>
      </c>
      <c r="AK12">
        <v>-16.5</v>
      </c>
      <c r="AL12" t="s">
        <v>108</v>
      </c>
      <c r="AM12">
        <v>-4.5</v>
      </c>
      <c r="AN12">
        <v>0</v>
      </c>
      <c r="AO12">
        <v>-16.5</v>
      </c>
      <c r="AP12" t="s">
        <v>34</v>
      </c>
      <c r="AQ12">
        <v>-13.5</v>
      </c>
      <c r="AR12">
        <v>0</v>
      </c>
      <c r="AS12">
        <v>-10.5</v>
      </c>
      <c r="AT12" t="s">
        <v>109</v>
      </c>
      <c r="AU12">
        <v>6.5</v>
      </c>
      <c r="AV12">
        <v>1</v>
      </c>
      <c r="AW12">
        <v>1.5</v>
      </c>
      <c r="AX12" t="s">
        <v>110</v>
      </c>
      <c r="AY12">
        <v>42.5</v>
      </c>
      <c r="AZ12">
        <v>1</v>
      </c>
      <c r="BA12">
        <v>10.5</v>
      </c>
      <c r="BB12" t="s">
        <v>111</v>
      </c>
      <c r="BC12">
        <v>-6.5</v>
      </c>
      <c r="BD12">
        <v>1</v>
      </c>
      <c r="BE12">
        <v>32.5</v>
      </c>
      <c r="BF12" t="s">
        <v>28</v>
      </c>
      <c r="BG12">
        <v>-1.5</v>
      </c>
      <c r="BH12">
        <v>1</v>
      </c>
      <c r="BI12">
        <v>19.5</v>
      </c>
      <c r="BJ12" s="23"/>
      <c r="BK12" s="23"/>
      <c r="BL12" s="23"/>
      <c r="BM12" s="23"/>
      <c r="BN12" s="7">
        <f t="shared" si="0"/>
        <v>9</v>
      </c>
    </row>
    <row r="13" spans="1:66" x14ac:dyDescent="0.25">
      <c r="A13" s="2" t="s">
        <v>112</v>
      </c>
      <c r="B13" t="s">
        <v>100</v>
      </c>
      <c r="C13">
        <v>-7.5</v>
      </c>
      <c r="D13">
        <v>1</v>
      </c>
      <c r="E13">
        <v>5.5</v>
      </c>
      <c r="F13" t="s">
        <v>107</v>
      </c>
      <c r="G13">
        <v>-28.5</v>
      </c>
      <c r="H13">
        <v>1</v>
      </c>
      <c r="I13">
        <v>10.5</v>
      </c>
      <c r="J13" t="s">
        <v>113</v>
      </c>
      <c r="K13">
        <v>35.5</v>
      </c>
      <c r="L13">
        <v>0</v>
      </c>
      <c r="M13">
        <v>-4.5</v>
      </c>
      <c r="N13" t="s">
        <v>114</v>
      </c>
      <c r="O13" t="s">
        <v>98</v>
      </c>
      <c r="P13">
        <v>1</v>
      </c>
      <c r="Q13">
        <v>10.5</v>
      </c>
      <c r="R13" t="s">
        <v>28</v>
      </c>
      <c r="S13">
        <v>-2.5</v>
      </c>
      <c r="T13">
        <v>0</v>
      </c>
      <c r="U13">
        <v>-5.5</v>
      </c>
      <c r="V13" t="s">
        <v>61</v>
      </c>
      <c r="W13">
        <v>-11.5</v>
      </c>
      <c r="X13">
        <v>1</v>
      </c>
      <c r="Y13">
        <v>12.5</v>
      </c>
      <c r="Z13" t="s">
        <v>67</v>
      </c>
      <c r="AA13">
        <v>-2.5</v>
      </c>
      <c r="AB13">
        <v>1</v>
      </c>
      <c r="AC13">
        <v>14.5</v>
      </c>
      <c r="AD13" t="s">
        <v>107</v>
      </c>
      <c r="AE13">
        <v>9.5</v>
      </c>
      <c r="AF13">
        <v>0</v>
      </c>
      <c r="AG13">
        <v>-0.5</v>
      </c>
      <c r="AH13" t="s">
        <v>31</v>
      </c>
      <c r="AI13">
        <v>2.5</v>
      </c>
      <c r="AJ13">
        <v>0</v>
      </c>
      <c r="AK13">
        <v>-21.5</v>
      </c>
      <c r="AL13" t="s">
        <v>115</v>
      </c>
      <c r="AM13" t="s">
        <v>116</v>
      </c>
      <c r="AN13">
        <v>1</v>
      </c>
      <c r="AO13">
        <v>11.5</v>
      </c>
      <c r="AP13" t="s">
        <v>117</v>
      </c>
      <c r="AQ13" t="s">
        <v>118</v>
      </c>
      <c r="AR13">
        <v>1</v>
      </c>
      <c r="AS13">
        <v>1.5</v>
      </c>
      <c r="AT13" t="s">
        <v>119</v>
      </c>
      <c r="AU13" t="s">
        <v>120</v>
      </c>
      <c r="AV13">
        <v>0</v>
      </c>
      <c r="AW13">
        <v>-0.5</v>
      </c>
      <c r="AX13" t="s">
        <v>85</v>
      </c>
      <c r="AY13">
        <v>-6.5</v>
      </c>
      <c r="AZ13">
        <v>1</v>
      </c>
      <c r="BA13">
        <v>17.5</v>
      </c>
      <c r="BB13" t="s">
        <v>27</v>
      </c>
      <c r="BC13">
        <v>-6.5</v>
      </c>
      <c r="BD13">
        <v>1</v>
      </c>
      <c r="BE13">
        <v>10.5</v>
      </c>
      <c r="BF13" s="2" t="s">
        <v>55</v>
      </c>
      <c r="BG13" s="2">
        <v>-4</v>
      </c>
      <c r="BH13">
        <v>-1</v>
      </c>
      <c r="BI13">
        <v>-7</v>
      </c>
      <c r="BJ13" s="23"/>
      <c r="BK13" s="23"/>
      <c r="BL13" s="23"/>
      <c r="BM13" s="23"/>
      <c r="BN13" s="7">
        <f t="shared" si="0"/>
        <v>8</v>
      </c>
    </row>
    <row r="14" spans="1:66" x14ac:dyDescent="0.25">
      <c r="A14" s="2" t="s">
        <v>121</v>
      </c>
      <c r="B14" t="s">
        <v>100</v>
      </c>
      <c r="C14">
        <v>-7.5</v>
      </c>
      <c r="D14">
        <v>1</v>
      </c>
      <c r="E14">
        <v>5.5</v>
      </c>
      <c r="F14" t="s">
        <v>45</v>
      </c>
      <c r="G14">
        <v>-3.5</v>
      </c>
      <c r="H14">
        <v>0</v>
      </c>
      <c r="I14">
        <v>-0.5</v>
      </c>
      <c r="J14" t="s">
        <v>122</v>
      </c>
      <c r="K14" t="s">
        <v>123</v>
      </c>
      <c r="L14">
        <v>1</v>
      </c>
      <c r="M14">
        <v>8</v>
      </c>
      <c r="N14" t="s">
        <v>61</v>
      </c>
      <c r="O14">
        <v>3.5</v>
      </c>
      <c r="P14">
        <v>1</v>
      </c>
      <c r="Q14">
        <v>27.5</v>
      </c>
      <c r="R14" t="s">
        <v>124</v>
      </c>
      <c r="S14">
        <v>3.5</v>
      </c>
      <c r="T14">
        <v>1</v>
      </c>
      <c r="U14">
        <v>0.5</v>
      </c>
      <c r="V14" t="s">
        <v>125</v>
      </c>
      <c r="W14" t="s">
        <v>126</v>
      </c>
      <c r="X14">
        <v>0</v>
      </c>
      <c r="Y14">
        <v>-12.5</v>
      </c>
      <c r="Z14" t="s">
        <v>127</v>
      </c>
      <c r="AA14" t="s">
        <v>128</v>
      </c>
      <c r="AB14">
        <v>0</v>
      </c>
      <c r="AC14">
        <v>-14.5</v>
      </c>
      <c r="AD14" t="s">
        <v>29</v>
      </c>
      <c r="AE14">
        <v>13.5</v>
      </c>
      <c r="AF14">
        <v>0</v>
      </c>
      <c r="AG14">
        <v>-11.5</v>
      </c>
      <c r="AH14" t="s">
        <v>62</v>
      </c>
      <c r="AI14">
        <v>26.5</v>
      </c>
      <c r="AJ14">
        <v>0</v>
      </c>
      <c r="AK14">
        <v>-23.5</v>
      </c>
      <c r="AL14" t="s">
        <v>108</v>
      </c>
      <c r="AM14">
        <v>-5.5</v>
      </c>
      <c r="AN14">
        <v>0</v>
      </c>
      <c r="AO14">
        <v>-17.5</v>
      </c>
      <c r="AP14" t="s">
        <v>56</v>
      </c>
      <c r="AQ14">
        <v>10.5</v>
      </c>
      <c r="AR14">
        <v>0</v>
      </c>
      <c r="AS14">
        <v>-11.5</v>
      </c>
      <c r="AT14" s="2" t="s">
        <v>52</v>
      </c>
      <c r="AU14" s="2">
        <v>5.5</v>
      </c>
      <c r="AV14">
        <v>2</v>
      </c>
      <c r="AW14">
        <v>4.5</v>
      </c>
      <c r="AX14" t="s">
        <v>54</v>
      </c>
      <c r="AY14">
        <v>-8.5</v>
      </c>
      <c r="AZ14">
        <v>1</v>
      </c>
      <c r="BA14">
        <v>19.5</v>
      </c>
      <c r="BB14" t="s">
        <v>54</v>
      </c>
      <c r="BC14">
        <v>3.5</v>
      </c>
      <c r="BD14">
        <v>1</v>
      </c>
      <c r="BE14">
        <v>24.5</v>
      </c>
      <c r="BF14" t="s">
        <v>129</v>
      </c>
      <c r="BG14">
        <v>1.5</v>
      </c>
      <c r="BH14">
        <v>0</v>
      </c>
      <c r="BI14">
        <v>-19.5</v>
      </c>
      <c r="BJ14" s="23"/>
      <c r="BK14" s="23"/>
      <c r="BL14" s="23"/>
      <c r="BM14" s="23"/>
      <c r="BN14" s="7">
        <f t="shared" si="0"/>
        <v>8</v>
      </c>
    </row>
    <row r="15" spans="1:66" x14ac:dyDescent="0.25">
      <c r="A15" s="2" t="s">
        <v>130</v>
      </c>
      <c r="B15" t="s">
        <v>26</v>
      </c>
      <c r="C15">
        <v>-13.5</v>
      </c>
      <c r="D15">
        <v>0</v>
      </c>
      <c r="E15">
        <v>-27.5</v>
      </c>
      <c r="F15" t="s">
        <v>56</v>
      </c>
      <c r="G15">
        <v>-18.5</v>
      </c>
      <c r="H15">
        <v>1</v>
      </c>
      <c r="I15">
        <v>5.5</v>
      </c>
      <c r="J15" t="s">
        <v>131</v>
      </c>
      <c r="K15">
        <v>-11.5</v>
      </c>
      <c r="L15">
        <v>0</v>
      </c>
      <c r="M15">
        <v>-8.5</v>
      </c>
      <c r="N15" t="s">
        <v>29</v>
      </c>
      <c r="O15">
        <v>-2.5</v>
      </c>
      <c r="P15">
        <v>1</v>
      </c>
      <c r="Q15">
        <v>0.5</v>
      </c>
      <c r="R15" t="s">
        <v>132</v>
      </c>
      <c r="S15" t="s">
        <v>133</v>
      </c>
      <c r="T15">
        <v>1</v>
      </c>
      <c r="U15">
        <v>3.5</v>
      </c>
      <c r="V15" t="s">
        <v>134</v>
      </c>
      <c r="W15" t="s">
        <v>135</v>
      </c>
      <c r="X15">
        <v>1</v>
      </c>
      <c r="Y15">
        <v>5.5</v>
      </c>
      <c r="Z15" t="s">
        <v>45</v>
      </c>
      <c r="AA15">
        <v>-2.5</v>
      </c>
      <c r="AB15">
        <v>0</v>
      </c>
      <c r="AC15">
        <v>-9.5</v>
      </c>
      <c r="AD15" t="s">
        <v>136</v>
      </c>
      <c r="AE15">
        <v>-3.5</v>
      </c>
      <c r="AF15">
        <v>0</v>
      </c>
      <c r="AG15">
        <v>-24.5</v>
      </c>
      <c r="AH15" t="s">
        <v>137</v>
      </c>
      <c r="AI15">
        <v>3.5</v>
      </c>
      <c r="AJ15">
        <v>1</v>
      </c>
      <c r="AK15">
        <v>6.5</v>
      </c>
      <c r="AL15" t="s">
        <v>115</v>
      </c>
      <c r="AM15" t="s">
        <v>116</v>
      </c>
      <c r="AN15">
        <v>1</v>
      </c>
      <c r="AO15">
        <v>11.5</v>
      </c>
      <c r="AP15" t="s">
        <v>29</v>
      </c>
      <c r="AQ15">
        <v>-4.5</v>
      </c>
      <c r="AR15">
        <v>1</v>
      </c>
      <c r="AS15">
        <v>27.5</v>
      </c>
      <c r="AT15" t="s">
        <v>56</v>
      </c>
      <c r="AU15">
        <v>-3.5</v>
      </c>
      <c r="AV15">
        <v>1</v>
      </c>
      <c r="AW15">
        <v>27.5</v>
      </c>
      <c r="AX15" t="s">
        <v>138</v>
      </c>
      <c r="AY15" t="s">
        <v>139</v>
      </c>
      <c r="AZ15">
        <v>0</v>
      </c>
      <c r="BA15">
        <v>-15.5</v>
      </c>
      <c r="BB15" t="s">
        <v>66</v>
      </c>
      <c r="BC15">
        <v>-10.5</v>
      </c>
      <c r="BD15">
        <v>0</v>
      </c>
      <c r="BE15">
        <v>-0.5</v>
      </c>
      <c r="BF15" s="2" t="s">
        <v>140</v>
      </c>
      <c r="BG15" s="2" t="s">
        <v>141</v>
      </c>
      <c r="BH15">
        <v>-1</v>
      </c>
      <c r="BI15">
        <v>-0.5</v>
      </c>
      <c r="BJ15" s="23"/>
      <c r="BK15" s="23"/>
      <c r="BL15" s="23"/>
      <c r="BM15" s="23"/>
      <c r="BN15" s="7">
        <f t="shared" si="0"/>
        <v>7</v>
      </c>
    </row>
    <row r="16" spans="1:66" x14ac:dyDescent="0.25">
      <c r="A16" s="2" t="s">
        <v>142</v>
      </c>
      <c r="B16" t="s">
        <v>26</v>
      </c>
      <c r="C16">
        <v>-13.5</v>
      </c>
      <c r="D16">
        <v>0</v>
      </c>
      <c r="E16">
        <v>-27.5</v>
      </c>
      <c r="F16" t="s">
        <v>95</v>
      </c>
      <c r="G16">
        <v>-12.5</v>
      </c>
      <c r="H16">
        <v>1</v>
      </c>
      <c r="I16">
        <v>1.5</v>
      </c>
      <c r="J16" t="s">
        <v>25</v>
      </c>
      <c r="K16">
        <v>-27.5</v>
      </c>
      <c r="L16">
        <v>1</v>
      </c>
      <c r="M16">
        <v>10.5</v>
      </c>
      <c r="N16" t="s">
        <v>54</v>
      </c>
      <c r="O16">
        <v>-27.5</v>
      </c>
      <c r="P16">
        <v>1</v>
      </c>
      <c r="Q16">
        <v>21.5</v>
      </c>
      <c r="R16" t="s">
        <v>143</v>
      </c>
      <c r="S16">
        <v>-6.5</v>
      </c>
      <c r="T16">
        <v>0</v>
      </c>
      <c r="U16">
        <v>-14.5</v>
      </c>
      <c r="V16" t="s">
        <v>124</v>
      </c>
      <c r="W16">
        <v>-13.5</v>
      </c>
      <c r="X16">
        <v>1</v>
      </c>
      <c r="Y16">
        <v>0.5</v>
      </c>
      <c r="Z16" t="s">
        <v>144</v>
      </c>
      <c r="AA16">
        <v>-1.5</v>
      </c>
      <c r="AB16">
        <v>1</v>
      </c>
      <c r="AC16">
        <v>0.5</v>
      </c>
      <c r="AD16" t="s">
        <v>145</v>
      </c>
      <c r="AE16">
        <v>1.5</v>
      </c>
      <c r="AF16">
        <v>1</v>
      </c>
      <c r="AG16">
        <v>16.5</v>
      </c>
      <c r="AH16" t="s">
        <v>62</v>
      </c>
      <c r="AI16">
        <v>25.5</v>
      </c>
      <c r="AJ16">
        <v>0</v>
      </c>
      <c r="AK16">
        <v>-23.5</v>
      </c>
      <c r="AL16" t="s">
        <v>146</v>
      </c>
      <c r="AM16">
        <v>-6.5</v>
      </c>
      <c r="AN16">
        <v>1</v>
      </c>
      <c r="AO16">
        <v>25.5</v>
      </c>
      <c r="AP16" s="2" t="s">
        <v>147</v>
      </c>
      <c r="AQ16" s="2" t="s">
        <v>118</v>
      </c>
      <c r="AR16" s="2">
        <v>-1</v>
      </c>
      <c r="AS16">
        <v>-5.5</v>
      </c>
      <c r="AT16" t="s">
        <v>148</v>
      </c>
      <c r="AU16">
        <v>10.5</v>
      </c>
      <c r="AV16">
        <v>0</v>
      </c>
      <c r="AW16">
        <v>-31.5</v>
      </c>
      <c r="AX16" t="s">
        <v>149</v>
      </c>
      <c r="AY16" t="s">
        <v>150</v>
      </c>
      <c r="AZ16">
        <v>0</v>
      </c>
      <c r="BA16">
        <v>-5.5</v>
      </c>
      <c r="BB16" t="s">
        <v>40</v>
      </c>
      <c r="BC16">
        <v>-2.5</v>
      </c>
      <c r="BD16">
        <v>1</v>
      </c>
      <c r="BE16">
        <v>11.5</v>
      </c>
      <c r="BF16" t="s">
        <v>97</v>
      </c>
      <c r="BG16" t="s">
        <v>120</v>
      </c>
      <c r="BH16">
        <v>0</v>
      </c>
      <c r="BI16">
        <v>-2.5</v>
      </c>
      <c r="BJ16" s="23"/>
      <c r="BK16" s="23"/>
      <c r="BL16" s="23"/>
      <c r="BM16" s="23"/>
      <c r="BN16" s="7">
        <f t="shared" si="0"/>
        <v>7</v>
      </c>
    </row>
    <row r="17" spans="1:66" x14ac:dyDescent="0.25">
      <c r="A17" s="2" t="s">
        <v>151</v>
      </c>
      <c r="B17" t="s">
        <v>67</v>
      </c>
      <c r="C17">
        <v>1.5</v>
      </c>
      <c r="D17">
        <v>0</v>
      </c>
      <c r="E17">
        <v>-8.5</v>
      </c>
      <c r="F17" t="s">
        <v>33</v>
      </c>
      <c r="G17">
        <v>2.5</v>
      </c>
      <c r="H17">
        <v>1</v>
      </c>
      <c r="I17">
        <v>4.5</v>
      </c>
      <c r="J17" t="s">
        <v>78</v>
      </c>
      <c r="K17">
        <v>9.5</v>
      </c>
      <c r="L17">
        <v>1</v>
      </c>
      <c r="M17">
        <v>12.5</v>
      </c>
      <c r="N17" t="s">
        <v>48</v>
      </c>
      <c r="O17">
        <v>-6.5</v>
      </c>
      <c r="P17">
        <v>1</v>
      </c>
      <c r="Q17">
        <v>0.5</v>
      </c>
      <c r="R17" t="s">
        <v>152</v>
      </c>
      <c r="S17" t="s">
        <v>153</v>
      </c>
      <c r="T17">
        <v>1</v>
      </c>
      <c r="U17">
        <v>29.5</v>
      </c>
      <c r="V17" t="s">
        <v>38</v>
      </c>
      <c r="W17">
        <v>4.5</v>
      </c>
      <c r="X17">
        <v>0</v>
      </c>
      <c r="Y17">
        <v>-1.5</v>
      </c>
      <c r="Z17" t="s">
        <v>154</v>
      </c>
      <c r="AA17">
        <v>-2.5</v>
      </c>
      <c r="AB17">
        <v>0</v>
      </c>
      <c r="AC17">
        <v>-20.5</v>
      </c>
      <c r="AD17" t="s">
        <v>66</v>
      </c>
      <c r="AE17">
        <v>-3.5</v>
      </c>
      <c r="AF17">
        <v>0</v>
      </c>
      <c r="AG17">
        <v>-6.5</v>
      </c>
      <c r="AH17" s="2" t="s">
        <v>54</v>
      </c>
      <c r="AI17" s="2">
        <v>-2.5</v>
      </c>
      <c r="AJ17" s="2">
        <v>2</v>
      </c>
      <c r="AK17">
        <v>4.5</v>
      </c>
      <c r="AL17" t="s">
        <v>83</v>
      </c>
      <c r="AM17">
        <v>-3.5</v>
      </c>
      <c r="AN17">
        <v>0</v>
      </c>
      <c r="AO17">
        <v>-25.5</v>
      </c>
      <c r="AP17" t="s">
        <v>155</v>
      </c>
      <c r="AQ17">
        <v>-13.5</v>
      </c>
      <c r="AR17">
        <v>1</v>
      </c>
      <c r="AS17">
        <v>18.5</v>
      </c>
      <c r="AT17" t="s">
        <v>155</v>
      </c>
      <c r="AU17">
        <v>-9.5</v>
      </c>
      <c r="AV17">
        <v>0</v>
      </c>
      <c r="AW17">
        <v>-12.5</v>
      </c>
      <c r="AX17" t="s">
        <v>95</v>
      </c>
      <c r="AY17">
        <v>4.5</v>
      </c>
      <c r="AZ17">
        <v>0</v>
      </c>
      <c r="BA17">
        <v>-27.5</v>
      </c>
      <c r="BB17" t="s">
        <v>24</v>
      </c>
      <c r="BC17">
        <v>-2.5</v>
      </c>
      <c r="BD17">
        <v>0</v>
      </c>
      <c r="BE17">
        <v>-23.5</v>
      </c>
      <c r="BF17" t="s">
        <v>156</v>
      </c>
      <c r="BG17" t="s">
        <v>157</v>
      </c>
      <c r="BH17">
        <v>0</v>
      </c>
      <c r="BI17">
        <v>-7.5</v>
      </c>
      <c r="BJ17" s="23"/>
      <c r="BK17" s="23"/>
      <c r="BL17" s="23"/>
      <c r="BM17" s="23"/>
      <c r="BN17" s="7">
        <f t="shared" si="0"/>
        <v>7</v>
      </c>
    </row>
    <row r="18" spans="1:66" x14ac:dyDescent="0.25">
      <c r="A18" s="2" t="s">
        <v>158</v>
      </c>
      <c r="B18" t="s">
        <v>159</v>
      </c>
      <c r="C18">
        <v>-13.5</v>
      </c>
      <c r="D18">
        <v>0</v>
      </c>
      <c r="E18">
        <v>-16.5</v>
      </c>
      <c r="F18" t="s">
        <v>160</v>
      </c>
      <c r="G18" t="s">
        <v>118</v>
      </c>
      <c r="H18">
        <v>0</v>
      </c>
      <c r="I18">
        <v>-19.5</v>
      </c>
      <c r="J18" t="s">
        <v>52</v>
      </c>
      <c r="K18">
        <v>6.5</v>
      </c>
      <c r="L18">
        <v>1</v>
      </c>
      <c r="M18">
        <v>0.5</v>
      </c>
      <c r="N18" t="s">
        <v>52</v>
      </c>
      <c r="O18">
        <v>-7.5</v>
      </c>
      <c r="P18">
        <v>0</v>
      </c>
      <c r="Q18">
        <v>-8.5</v>
      </c>
      <c r="R18" s="2" t="s">
        <v>56</v>
      </c>
      <c r="S18" s="2">
        <v>-6.5</v>
      </c>
      <c r="T18" s="2">
        <v>-1</v>
      </c>
      <c r="U18">
        <v>-3.5</v>
      </c>
      <c r="V18" t="s">
        <v>54</v>
      </c>
      <c r="W18">
        <v>11.5</v>
      </c>
      <c r="X18">
        <v>0</v>
      </c>
      <c r="Y18">
        <v>-4.5</v>
      </c>
      <c r="Z18" t="s">
        <v>52</v>
      </c>
      <c r="AA18">
        <v>9.5</v>
      </c>
      <c r="AB18">
        <v>1</v>
      </c>
      <c r="AC18">
        <v>6.5</v>
      </c>
      <c r="AD18" t="s">
        <v>54</v>
      </c>
      <c r="AE18">
        <v>-2.5</v>
      </c>
      <c r="AF18">
        <v>1</v>
      </c>
      <c r="AG18">
        <v>4.5</v>
      </c>
      <c r="AH18" t="s">
        <v>161</v>
      </c>
      <c r="AI18">
        <v>-3.5</v>
      </c>
      <c r="AJ18">
        <v>0</v>
      </c>
      <c r="AK18">
        <v>-4.5</v>
      </c>
      <c r="AL18" t="s">
        <v>162</v>
      </c>
      <c r="AM18" t="s">
        <v>123</v>
      </c>
      <c r="AN18">
        <v>1</v>
      </c>
      <c r="AO18">
        <v>7.5</v>
      </c>
      <c r="AP18" t="s">
        <v>163</v>
      </c>
      <c r="AQ18" t="s">
        <v>164</v>
      </c>
      <c r="AR18">
        <v>1</v>
      </c>
      <c r="AS18">
        <v>6.5</v>
      </c>
      <c r="AT18" t="s">
        <v>85</v>
      </c>
      <c r="AU18">
        <v>6.5</v>
      </c>
      <c r="AV18">
        <v>1</v>
      </c>
      <c r="AW18">
        <v>12.5</v>
      </c>
      <c r="AX18" t="s">
        <v>92</v>
      </c>
      <c r="AY18">
        <v>-1.5</v>
      </c>
      <c r="AZ18">
        <v>1</v>
      </c>
      <c r="BA18">
        <v>4.5</v>
      </c>
      <c r="BB18" t="s">
        <v>81</v>
      </c>
      <c r="BC18">
        <v>1.5</v>
      </c>
      <c r="BD18">
        <v>0</v>
      </c>
      <c r="BE18">
        <v>-14.5</v>
      </c>
      <c r="BF18" s="23"/>
      <c r="BG18" s="23"/>
      <c r="BH18" s="23"/>
      <c r="BI18" s="23"/>
      <c r="BJ18" s="23"/>
      <c r="BK18" s="23"/>
      <c r="BL18" s="23"/>
      <c r="BM18" s="23"/>
      <c r="BN18" s="7">
        <f t="shared" si="0"/>
        <v>6</v>
      </c>
    </row>
    <row r="19" spans="1:66" x14ac:dyDescent="0.25">
      <c r="A19" s="2" t="s">
        <v>165</v>
      </c>
      <c r="B19" t="s">
        <v>28</v>
      </c>
      <c r="C19">
        <v>-38.5</v>
      </c>
      <c r="D19">
        <v>0</v>
      </c>
      <c r="E19">
        <v>-0.5</v>
      </c>
      <c r="F19" t="s">
        <v>27</v>
      </c>
      <c r="G19">
        <v>-8.5</v>
      </c>
      <c r="H19">
        <v>0</v>
      </c>
      <c r="I19">
        <v>-1.5</v>
      </c>
      <c r="J19" s="2" t="s">
        <v>52</v>
      </c>
      <c r="K19" s="2">
        <v>9.5</v>
      </c>
      <c r="L19" s="2">
        <v>2</v>
      </c>
      <c r="M19">
        <v>3.5</v>
      </c>
      <c r="N19" t="s">
        <v>114</v>
      </c>
      <c r="O19" t="s">
        <v>166</v>
      </c>
      <c r="P19">
        <v>0</v>
      </c>
      <c r="Q19">
        <v>-9.5</v>
      </c>
      <c r="R19" t="s">
        <v>28</v>
      </c>
      <c r="S19">
        <v>-2.5</v>
      </c>
      <c r="T19">
        <v>0</v>
      </c>
      <c r="U19">
        <v>-5.5</v>
      </c>
      <c r="V19" t="s">
        <v>167</v>
      </c>
      <c r="W19">
        <v>16.5</v>
      </c>
      <c r="X19">
        <v>0</v>
      </c>
      <c r="Y19">
        <v>-5.5</v>
      </c>
      <c r="Z19" t="s">
        <v>129</v>
      </c>
      <c r="AA19">
        <v>-2.5</v>
      </c>
      <c r="AB19">
        <v>1</v>
      </c>
      <c r="AC19">
        <v>0.5</v>
      </c>
      <c r="AD19" t="s">
        <v>85</v>
      </c>
      <c r="AE19">
        <v>-1.5</v>
      </c>
      <c r="AF19">
        <v>0</v>
      </c>
      <c r="AG19">
        <v>-4.5</v>
      </c>
      <c r="AH19" t="s">
        <v>168</v>
      </c>
      <c r="AI19" t="s">
        <v>169</v>
      </c>
      <c r="AJ19">
        <v>1</v>
      </c>
      <c r="AK19">
        <v>5.5</v>
      </c>
      <c r="AL19" t="s">
        <v>170</v>
      </c>
      <c r="AM19" t="s">
        <v>169</v>
      </c>
      <c r="AN19">
        <v>1</v>
      </c>
      <c r="AO19">
        <v>16.5</v>
      </c>
      <c r="AP19" t="s">
        <v>171</v>
      </c>
      <c r="AQ19">
        <v>-2.5</v>
      </c>
      <c r="AR19">
        <v>1</v>
      </c>
      <c r="AS19">
        <v>1.5</v>
      </c>
      <c r="AT19" t="s">
        <v>171</v>
      </c>
      <c r="AU19">
        <v>1.5</v>
      </c>
      <c r="AV19">
        <v>0</v>
      </c>
      <c r="AW19">
        <v>-2.5</v>
      </c>
      <c r="AX19" t="s">
        <v>52</v>
      </c>
      <c r="AY19">
        <v>8.5</v>
      </c>
      <c r="AZ19">
        <v>0</v>
      </c>
      <c r="BA19">
        <v>-6.5</v>
      </c>
      <c r="BB19" t="s">
        <v>52</v>
      </c>
      <c r="BC19">
        <v>2.5</v>
      </c>
      <c r="BD19">
        <v>0</v>
      </c>
      <c r="BE19">
        <v>-11.5</v>
      </c>
      <c r="BF19" s="23"/>
      <c r="BG19" s="23"/>
      <c r="BH19" s="23"/>
      <c r="BI19" s="23"/>
      <c r="BJ19" s="23"/>
      <c r="BK19" s="23"/>
      <c r="BL19" s="23"/>
      <c r="BM19" s="23"/>
      <c r="BN19" s="7">
        <f t="shared" si="0"/>
        <v>6</v>
      </c>
    </row>
    <row r="20" spans="1:66" x14ac:dyDescent="0.25">
      <c r="A20" s="2" t="s">
        <v>172</v>
      </c>
      <c r="B20" t="s">
        <v>83</v>
      </c>
      <c r="C20">
        <v>-4.5</v>
      </c>
      <c r="D20">
        <v>1</v>
      </c>
      <c r="E20">
        <v>15.5</v>
      </c>
      <c r="F20" t="s">
        <v>91</v>
      </c>
      <c r="G20">
        <v>-2.5</v>
      </c>
      <c r="H20">
        <v>0</v>
      </c>
      <c r="I20">
        <v>-9.5</v>
      </c>
      <c r="J20" t="s">
        <v>83</v>
      </c>
      <c r="K20">
        <v>-3.5</v>
      </c>
      <c r="L20">
        <v>1</v>
      </c>
      <c r="M20">
        <v>3.5</v>
      </c>
      <c r="N20" t="s">
        <v>33</v>
      </c>
      <c r="O20">
        <v>-1.5</v>
      </c>
      <c r="P20">
        <v>0</v>
      </c>
      <c r="Q20">
        <v>-4.5</v>
      </c>
      <c r="R20" t="s">
        <v>28</v>
      </c>
      <c r="S20">
        <v>-2.5</v>
      </c>
      <c r="T20">
        <v>0</v>
      </c>
      <c r="U20">
        <v>-5.5</v>
      </c>
      <c r="V20" t="s">
        <v>29</v>
      </c>
      <c r="W20">
        <v>-3.5</v>
      </c>
      <c r="X20">
        <v>1</v>
      </c>
      <c r="Y20">
        <v>10.5</v>
      </c>
      <c r="Z20" t="s">
        <v>28</v>
      </c>
      <c r="AA20">
        <v>-3.5</v>
      </c>
      <c r="AB20">
        <v>1</v>
      </c>
      <c r="AC20">
        <v>6.5</v>
      </c>
      <c r="AD20" t="s">
        <v>83</v>
      </c>
      <c r="AE20">
        <v>-9.5</v>
      </c>
      <c r="AF20">
        <v>0</v>
      </c>
      <c r="AG20">
        <v>-2.5</v>
      </c>
      <c r="AH20" t="s">
        <v>173</v>
      </c>
      <c r="AI20">
        <v>-3.5</v>
      </c>
      <c r="AJ20">
        <v>1</v>
      </c>
      <c r="AK20">
        <v>17.5</v>
      </c>
      <c r="AL20" t="s">
        <v>29</v>
      </c>
      <c r="AM20">
        <v>-3.5</v>
      </c>
      <c r="AN20">
        <v>0</v>
      </c>
      <c r="AO20">
        <v>-8.5</v>
      </c>
      <c r="AP20" t="s">
        <v>40</v>
      </c>
      <c r="AQ20">
        <v>6.5</v>
      </c>
      <c r="AR20">
        <v>0</v>
      </c>
      <c r="AS20">
        <v>-14.5</v>
      </c>
      <c r="AT20" s="2" t="s">
        <v>26</v>
      </c>
      <c r="AU20" s="2">
        <v>-5.5</v>
      </c>
      <c r="AV20">
        <v>-1</v>
      </c>
      <c r="AW20">
        <v>-7.5</v>
      </c>
      <c r="AX20" t="s">
        <v>24</v>
      </c>
      <c r="AY20">
        <v>-4.5</v>
      </c>
      <c r="AZ20">
        <v>1</v>
      </c>
      <c r="BA20">
        <v>15.5</v>
      </c>
      <c r="BB20" t="s">
        <v>95</v>
      </c>
      <c r="BC20">
        <v>-2.5</v>
      </c>
      <c r="BD20">
        <v>1</v>
      </c>
      <c r="BE20">
        <v>38.5</v>
      </c>
      <c r="BF20" s="23"/>
      <c r="BG20" s="23"/>
      <c r="BH20" s="23"/>
      <c r="BI20" s="23"/>
      <c r="BJ20" s="23"/>
      <c r="BK20" s="23"/>
      <c r="BL20" s="23"/>
      <c r="BM20" s="23"/>
      <c r="BN20" s="7">
        <f t="shared" si="0"/>
        <v>6</v>
      </c>
    </row>
    <row r="21" spans="1:66" x14ac:dyDescent="0.25">
      <c r="A21" s="2" t="s">
        <v>174</v>
      </c>
      <c r="B21" t="s">
        <v>27</v>
      </c>
      <c r="C21">
        <v>-33.5</v>
      </c>
      <c r="D21">
        <v>1</v>
      </c>
      <c r="E21">
        <v>22.5</v>
      </c>
      <c r="F21" t="s">
        <v>175</v>
      </c>
      <c r="G21" t="s">
        <v>176</v>
      </c>
      <c r="H21">
        <v>1</v>
      </c>
      <c r="I21">
        <v>13.5</v>
      </c>
      <c r="J21" t="s">
        <v>177</v>
      </c>
      <c r="K21" t="s">
        <v>178</v>
      </c>
      <c r="L21">
        <v>0</v>
      </c>
      <c r="M21">
        <v>-3.5</v>
      </c>
      <c r="N21" t="s">
        <v>146</v>
      </c>
      <c r="O21">
        <v>-8.5</v>
      </c>
      <c r="P21">
        <v>1</v>
      </c>
      <c r="Q21">
        <v>9.5</v>
      </c>
      <c r="R21" t="s">
        <v>44</v>
      </c>
      <c r="S21">
        <v>8.5</v>
      </c>
      <c r="T21">
        <v>0</v>
      </c>
      <c r="U21">
        <v>-9.5</v>
      </c>
      <c r="V21" t="s">
        <v>179</v>
      </c>
      <c r="W21" t="s">
        <v>116</v>
      </c>
      <c r="X21">
        <v>1</v>
      </c>
      <c r="Y21">
        <v>13.5</v>
      </c>
      <c r="Z21" t="s">
        <v>29</v>
      </c>
      <c r="AA21">
        <v>-6.5</v>
      </c>
      <c r="AB21">
        <v>0</v>
      </c>
      <c r="AC21">
        <v>-3.5</v>
      </c>
      <c r="AD21" t="s">
        <v>180</v>
      </c>
      <c r="AE21" t="s">
        <v>88</v>
      </c>
      <c r="AF21">
        <v>0</v>
      </c>
      <c r="AG21">
        <v>-12.5</v>
      </c>
      <c r="AH21" t="s">
        <v>181</v>
      </c>
      <c r="AI21" t="s">
        <v>178</v>
      </c>
      <c r="AJ21">
        <v>1</v>
      </c>
      <c r="AK21">
        <v>11.5</v>
      </c>
      <c r="AL21" t="s">
        <v>182</v>
      </c>
      <c r="AM21" t="s">
        <v>169</v>
      </c>
      <c r="AN21">
        <v>1</v>
      </c>
      <c r="AO21">
        <v>19.5</v>
      </c>
      <c r="AP21" t="s">
        <v>183</v>
      </c>
      <c r="AQ21" t="s">
        <v>157</v>
      </c>
      <c r="AR21">
        <v>0</v>
      </c>
      <c r="AS21">
        <v>-24.5</v>
      </c>
      <c r="AT21" t="s">
        <v>184</v>
      </c>
      <c r="AU21" t="s">
        <v>128</v>
      </c>
      <c r="AV21">
        <v>0</v>
      </c>
      <c r="AW21">
        <v>-23.5</v>
      </c>
      <c r="AX21" t="s">
        <v>185</v>
      </c>
      <c r="AY21" t="s">
        <v>186</v>
      </c>
      <c r="AZ21">
        <v>1</v>
      </c>
      <c r="BA21">
        <v>18.5</v>
      </c>
      <c r="BB21" s="2" t="s">
        <v>187</v>
      </c>
      <c r="BC21" s="2" t="s">
        <v>188</v>
      </c>
      <c r="BD21">
        <v>-1</v>
      </c>
      <c r="BE21">
        <v>-6.5</v>
      </c>
      <c r="BF21" s="23"/>
      <c r="BG21" s="23"/>
      <c r="BH21" s="23"/>
      <c r="BI21" s="23"/>
      <c r="BJ21" s="23"/>
      <c r="BK21" s="23"/>
      <c r="BL21" s="23"/>
      <c r="BM21" s="23"/>
      <c r="BN21" s="7">
        <f t="shared" si="0"/>
        <v>6</v>
      </c>
    </row>
    <row r="22" spans="1:66" x14ac:dyDescent="0.25">
      <c r="A22" s="2" t="s">
        <v>189</v>
      </c>
      <c r="B22" t="s">
        <v>64</v>
      </c>
      <c r="C22">
        <v>-5.5</v>
      </c>
      <c r="D22">
        <v>0</v>
      </c>
      <c r="E22">
        <v>-32.5</v>
      </c>
      <c r="F22" t="s">
        <v>160</v>
      </c>
      <c r="G22" t="s">
        <v>118</v>
      </c>
      <c r="H22">
        <v>0</v>
      </c>
      <c r="I22">
        <v>-19.5</v>
      </c>
      <c r="J22" t="s">
        <v>31</v>
      </c>
      <c r="K22">
        <v>-7.5</v>
      </c>
      <c r="L22">
        <v>1</v>
      </c>
      <c r="M22">
        <v>2.5</v>
      </c>
      <c r="N22" t="s">
        <v>27</v>
      </c>
      <c r="O22">
        <v>-11.5</v>
      </c>
      <c r="P22">
        <v>1</v>
      </c>
      <c r="Q22">
        <v>23.5</v>
      </c>
      <c r="R22" t="s">
        <v>92</v>
      </c>
      <c r="S22">
        <v>-4.5</v>
      </c>
      <c r="T22">
        <v>1</v>
      </c>
      <c r="U22">
        <v>14.5</v>
      </c>
      <c r="V22" t="s">
        <v>67</v>
      </c>
      <c r="W22">
        <v>-5.5</v>
      </c>
      <c r="X22">
        <v>0</v>
      </c>
      <c r="Y22">
        <v>-13.5</v>
      </c>
      <c r="Z22" t="s">
        <v>92</v>
      </c>
      <c r="AA22">
        <v>-4.5</v>
      </c>
      <c r="AB22">
        <v>0</v>
      </c>
      <c r="AC22">
        <v>-32.5</v>
      </c>
      <c r="AD22" s="2" t="s">
        <v>61</v>
      </c>
      <c r="AE22" s="2">
        <v>-7.5</v>
      </c>
      <c r="AF22" s="2">
        <v>-1</v>
      </c>
      <c r="AG22">
        <v>-11.5</v>
      </c>
      <c r="AH22" t="s">
        <v>168</v>
      </c>
      <c r="AI22" t="s">
        <v>116</v>
      </c>
      <c r="AJ22">
        <v>1</v>
      </c>
      <c r="AK22">
        <v>8.5</v>
      </c>
      <c r="AL22" t="s">
        <v>108</v>
      </c>
      <c r="AM22">
        <v>-5.5</v>
      </c>
      <c r="AN22">
        <v>0</v>
      </c>
      <c r="AO22">
        <v>-17.5</v>
      </c>
      <c r="AP22" t="s">
        <v>54</v>
      </c>
      <c r="AQ22">
        <v>-6.5</v>
      </c>
      <c r="AR22">
        <v>1</v>
      </c>
      <c r="AS22">
        <v>0.5</v>
      </c>
      <c r="AT22" t="s">
        <v>26</v>
      </c>
      <c r="AU22">
        <v>-5.5</v>
      </c>
      <c r="AV22">
        <v>0</v>
      </c>
      <c r="AW22">
        <v>-7.5</v>
      </c>
      <c r="AX22" t="s">
        <v>190</v>
      </c>
      <c r="AY22" t="s">
        <v>141</v>
      </c>
      <c r="AZ22">
        <v>1</v>
      </c>
      <c r="BA22">
        <v>9.5</v>
      </c>
      <c r="BB22" t="s">
        <v>107</v>
      </c>
      <c r="BC22">
        <v>-21.5</v>
      </c>
      <c r="BD22">
        <v>0</v>
      </c>
      <c r="BE22">
        <v>-2.5</v>
      </c>
      <c r="BF22" s="23"/>
      <c r="BG22" s="23"/>
      <c r="BH22" s="23"/>
      <c r="BI22" s="23"/>
      <c r="BJ22" s="23"/>
      <c r="BK22" s="23"/>
      <c r="BL22" s="23"/>
      <c r="BM22" s="23"/>
      <c r="BN22" s="7">
        <f t="shared" si="0"/>
        <v>5</v>
      </c>
    </row>
    <row r="23" spans="1:66" x14ac:dyDescent="0.25">
      <c r="A23" s="2" t="s">
        <v>191</v>
      </c>
      <c r="B23" t="s">
        <v>106</v>
      </c>
      <c r="C23">
        <v>-2.5</v>
      </c>
      <c r="D23">
        <v>0</v>
      </c>
      <c r="E23">
        <v>-5.5</v>
      </c>
      <c r="F23" t="s">
        <v>192</v>
      </c>
      <c r="G23" t="s">
        <v>116</v>
      </c>
      <c r="H23">
        <v>0</v>
      </c>
      <c r="I23">
        <v>-6.5</v>
      </c>
      <c r="J23" t="s">
        <v>61</v>
      </c>
      <c r="K23">
        <v>-23.5</v>
      </c>
      <c r="L23">
        <v>1</v>
      </c>
      <c r="M23">
        <v>7.5</v>
      </c>
      <c r="N23" t="s">
        <v>193</v>
      </c>
      <c r="O23">
        <v>9.5</v>
      </c>
      <c r="P23">
        <v>0</v>
      </c>
      <c r="Q23">
        <v>-9.5</v>
      </c>
      <c r="R23" t="s">
        <v>28</v>
      </c>
      <c r="S23">
        <v>-2.5</v>
      </c>
      <c r="T23">
        <v>0</v>
      </c>
      <c r="U23">
        <v>-5.5</v>
      </c>
      <c r="V23" t="s">
        <v>38</v>
      </c>
      <c r="W23">
        <v>4.5</v>
      </c>
      <c r="X23">
        <v>0</v>
      </c>
      <c r="Y23">
        <v>-1.5</v>
      </c>
      <c r="Z23" t="s">
        <v>48</v>
      </c>
      <c r="AA23">
        <v>-1.5</v>
      </c>
      <c r="AB23">
        <v>0</v>
      </c>
      <c r="AC23">
        <v>-18.5</v>
      </c>
      <c r="AD23" t="s">
        <v>53</v>
      </c>
      <c r="AE23">
        <v>-17.5</v>
      </c>
      <c r="AF23">
        <v>1</v>
      </c>
      <c r="AG23">
        <v>28.5</v>
      </c>
      <c r="AH23" t="s">
        <v>27</v>
      </c>
      <c r="AI23">
        <v>5.5</v>
      </c>
      <c r="AJ23">
        <v>1</v>
      </c>
      <c r="AK23">
        <v>13.5</v>
      </c>
      <c r="AL23" s="2" t="s">
        <v>161</v>
      </c>
      <c r="AM23" s="2">
        <v>12.5</v>
      </c>
      <c r="AN23" s="2">
        <v>2</v>
      </c>
      <c r="AO23">
        <v>18.5</v>
      </c>
      <c r="AP23" t="s">
        <v>62</v>
      </c>
      <c r="AQ23">
        <v>1.5</v>
      </c>
      <c r="AR23">
        <v>0</v>
      </c>
      <c r="AS23">
        <v>-5.5</v>
      </c>
      <c r="AT23" t="s">
        <v>41</v>
      </c>
      <c r="AU23">
        <v>-3.5</v>
      </c>
      <c r="AV23">
        <v>0</v>
      </c>
      <c r="AW23">
        <v>-20.5</v>
      </c>
      <c r="AX23" t="s">
        <v>52</v>
      </c>
      <c r="AY23">
        <v>8.5</v>
      </c>
      <c r="AZ23">
        <v>0</v>
      </c>
      <c r="BA23">
        <v>-6.5</v>
      </c>
      <c r="BF23" s="23"/>
      <c r="BG23" s="23"/>
      <c r="BH23" s="23"/>
      <c r="BI23" s="23"/>
      <c r="BJ23" s="23"/>
      <c r="BK23" s="23"/>
      <c r="BL23" s="23"/>
      <c r="BM23" s="23"/>
      <c r="BN23" s="7">
        <f t="shared" si="0"/>
        <v>5</v>
      </c>
    </row>
    <row r="24" spans="1:66" x14ac:dyDescent="0.25">
      <c r="A24" s="2" t="s">
        <v>194</v>
      </c>
      <c r="B24" t="s">
        <v>78</v>
      </c>
      <c r="C24">
        <v>-5</v>
      </c>
      <c r="D24">
        <v>1</v>
      </c>
      <c r="E24">
        <v>2</v>
      </c>
      <c r="F24" t="s">
        <v>25</v>
      </c>
      <c r="G24">
        <v>-2.5</v>
      </c>
      <c r="H24">
        <v>1</v>
      </c>
      <c r="I24">
        <v>23.5</v>
      </c>
      <c r="J24" t="s">
        <v>28</v>
      </c>
      <c r="K24">
        <v>-3.5</v>
      </c>
      <c r="L24">
        <v>0</v>
      </c>
      <c r="M24">
        <v>-0.5</v>
      </c>
      <c r="N24" t="s">
        <v>25</v>
      </c>
      <c r="O24">
        <v>6.5</v>
      </c>
      <c r="P24">
        <v>0</v>
      </c>
      <c r="Q24">
        <v>-46.5</v>
      </c>
      <c r="R24" s="2" t="s">
        <v>31</v>
      </c>
      <c r="S24" s="2">
        <v>1.5</v>
      </c>
      <c r="T24" s="2">
        <v>-1</v>
      </c>
      <c r="U24">
        <v>-3.5</v>
      </c>
      <c r="V24" t="s">
        <v>45</v>
      </c>
      <c r="W24">
        <v>1.5</v>
      </c>
      <c r="X24">
        <v>0</v>
      </c>
      <c r="Y24">
        <v>-6.5</v>
      </c>
      <c r="Z24" t="s">
        <v>48</v>
      </c>
      <c r="AA24">
        <v>2.5</v>
      </c>
      <c r="AB24">
        <v>0</v>
      </c>
      <c r="AC24">
        <v>-14.5</v>
      </c>
      <c r="AD24" t="s">
        <v>195</v>
      </c>
      <c r="AE24" t="s">
        <v>195</v>
      </c>
      <c r="AF24">
        <v>0</v>
      </c>
      <c r="AG24">
        <v>0</v>
      </c>
      <c r="AH24" t="s">
        <v>196</v>
      </c>
      <c r="AI24">
        <v>-20.5</v>
      </c>
      <c r="AJ24">
        <v>1</v>
      </c>
      <c r="AK24">
        <v>0.5</v>
      </c>
      <c r="AL24" t="s">
        <v>34</v>
      </c>
      <c r="AM24">
        <v>-22.5</v>
      </c>
      <c r="AN24">
        <v>1</v>
      </c>
      <c r="AO24">
        <v>22.5</v>
      </c>
      <c r="AP24" t="s">
        <v>53</v>
      </c>
      <c r="AQ24">
        <v>-6.5</v>
      </c>
      <c r="AR24">
        <v>0</v>
      </c>
      <c r="AS24">
        <v>-4.5</v>
      </c>
      <c r="AT24" t="s">
        <v>71</v>
      </c>
      <c r="AU24">
        <v>5.5</v>
      </c>
      <c r="AV24">
        <v>1</v>
      </c>
      <c r="AW24">
        <v>22.5</v>
      </c>
      <c r="AX24" t="s">
        <v>108</v>
      </c>
      <c r="AY24">
        <v>-2.5</v>
      </c>
      <c r="AZ24">
        <v>0</v>
      </c>
      <c r="BA24">
        <v>-16.5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7">
        <f t="shared" si="0"/>
        <v>4</v>
      </c>
    </row>
    <row r="25" spans="1:66" x14ac:dyDescent="0.25">
      <c r="A25" s="2" t="s">
        <v>197</v>
      </c>
      <c r="B25" t="s">
        <v>198</v>
      </c>
      <c r="C25" t="s">
        <v>135</v>
      </c>
      <c r="D25">
        <v>0</v>
      </c>
      <c r="E25">
        <v>-1.5</v>
      </c>
      <c r="F25" t="s">
        <v>67</v>
      </c>
      <c r="G25">
        <v>-36.5</v>
      </c>
      <c r="H25">
        <v>0</v>
      </c>
      <c r="I25">
        <v>-5.5</v>
      </c>
      <c r="J25" t="s">
        <v>83</v>
      </c>
      <c r="K25">
        <v>1.5</v>
      </c>
      <c r="L25">
        <v>1</v>
      </c>
      <c r="M25">
        <v>8.5</v>
      </c>
      <c r="N25" t="s">
        <v>52</v>
      </c>
      <c r="O25">
        <v>-7.5</v>
      </c>
      <c r="P25">
        <v>0</v>
      </c>
      <c r="Q25">
        <v>-8.5</v>
      </c>
      <c r="R25" t="s">
        <v>78</v>
      </c>
      <c r="S25">
        <v>-13.5</v>
      </c>
      <c r="T25">
        <v>0</v>
      </c>
      <c r="U25">
        <v>-12.5</v>
      </c>
      <c r="V25" t="s">
        <v>199</v>
      </c>
      <c r="W25" t="s">
        <v>139</v>
      </c>
      <c r="X25">
        <v>1</v>
      </c>
      <c r="Y25">
        <v>14.5</v>
      </c>
      <c r="Z25" t="s">
        <v>48</v>
      </c>
      <c r="AA25">
        <v>1.5</v>
      </c>
      <c r="AB25">
        <v>0</v>
      </c>
      <c r="AC25">
        <v>-15.5</v>
      </c>
      <c r="AD25" s="2" t="s">
        <v>61</v>
      </c>
      <c r="AE25" s="2">
        <v>-7.5</v>
      </c>
      <c r="AF25" s="2">
        <v>-1</v>
      </c>
      <c r="AG25">
        <v>-11.5</v>
      </c>
      <c r="AH25" t="s">
        <v>26</v>
      </c>
      <c r="AI25">
        <v>-11.5</v>
      </c>
      <c r="AJ25">
        <v>0</v>
      </c>
      <c r="AK25">
        <v>-4.5</v>
      </c>
      <c r="AL25" t="s">
        <v>55</v>
      </c>
      <c r="AM25">
        <v>-18.5</v>
      </c>
      <c r="AN25">
        <v>1</v>
      </c>
      <c r="AO25">
        <v>5.5</v>
      </c>
      <c r="AP25" t="s">
        <v>200</v>
      </c>
      <c r="AQ25">
        <v>-6.5</v>
      </c>
      <c r="AR25">
        <v>1</v>
      </c>
      <c r="AS25">
        <v>0.5</v>
      </c>
      <c r="AT25" t="s">
        <v>52</v>
      </c>
      <c r="AU25">
        <v>4.5</v>
      </c>
      <c r="AV25">
        <v>1</v>
      </c>
      <c r="AW25">
        <v>3.5</v>
      </c>
      <c r="AX25" t="s">
        <v>96</v>
      </c>
      <c r="AY25">
        <v>-2.5</v>
      </c>
      <c r="AZ25">
        <v>0</v>
      </c>
      <c r="BA25">
        <v>-6.5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7">
        <f t="shared" si="0"/>
        <v>4</v>
      </c>
    </row>
    <row r="26" spans="1:66" x14ac:dyDescent="0.25">
      <c r="A26" s="2" t="s">
        <v>201</v>
      </c>
      <c r="B26" t="s">
        <v>64</v>
      </c>
      <c r="C26">
        <v>-5.5</v>
      </c>
      <c r="D26">
        <v>0</v>
      </c>
      <c r="E26">
        <v>-32.5</v>
      </c>
      <c r="F26" t="s">
        <v>202</v>
      </c>
      <c r="G26">
        <v>-10.5</v>
      </c>
      <c r="H26">
        <v>0</v>
      </c>
      <c r="I26">
        <v>-11.5</v>
      </c>
      <c r="J26" t="s">
        <v>203</v>
      </c>
      <c r="K26" t="s">
        <v>118</v>
      </c>
      <c r="L26">
        <v>1</v>
      </c>
      <c r="M26">
        <v>12.5</v>
      </c>
      <c r="N26" t="s">
        <v>40</v>
      </c>
      <c r="O26">
        <v>-9.5</v>
      </c>
      <c r="P26">
        <v>0</v>
      </c>
      <c r="Q26">
        <v>-0.5</v>
      </c>
      <c r="R26" t="s">
        <v>84</v>
      </c>
      <c r="S26">
        <v>5.5</v>
      </c>
      <c r="T26">
        <v>0</v>
      </c>
      <c r="U26">
        <v>-29.5</v>
      </c>
      <c r="V26" t="s">
        <v>68</v>
      </c>
      <c r="W26" t="s">
        <v>204</v>
      </c>
      <c r="X26">
        <v>0</v>
      </c>
      <c r="Y26">
        <v>-9.5</v>
      </c>
      <c r="Z26" t="s">
        <v>205</v>
      </c>
      <c r="AA26">
        <v>-2.5</v>
      </c>
      <c r="AB26">
        <v>1</v>
      </c>
      <c r="AC26">
        <v>22.5</v>
      </c>
      <c r="AD26" t="s">
        <v>206</v>
      </c>
      <c r="AE26" t="s">
        <v>120</v>
      </c>
      <c r="AF26">
        <v>0</v>
      </c>
      <c r="AG26">
        <v>-17.5</v>
      </c>
      <c r="AH26" t="s">
        <v>207</v>
      </c>
      <c r="AI26" t="s">
        <v>120</v>
      </c>
      <c r="AJ26">
        <v>0</v>
      </c>
      <c r="AK26">
        <v>-7.5</v>
      </c>
      <c r="AL26" s="2" t="s">
        <v>208</v>
      </c>
      <c r="AM26" s="2" t="s">
        <v>139</v>
      </c>
      <c r="AN26" s="2">
        <v>2</v>
      </c>
      <c r="AO26">
        <v>16.5</v>
      </c>
      <c r="AP26" t="s">
        <v>147</v>
      </c>
      <c r="AQ26" t="s">
        <v>118</v>
      </c>
      <c r="AR26">
        <v>0</v>
      </c>
      <c r="AS26">
        <v>-5.5</v>
      </c>
      <c r="AT26" t="s">
        <v>209</v>
      </c>
      <c r="AU26" t="s">
        <v>210</v>
      </c>
      <c r="AV26">
        <v>0</v>
      </c>
      <c r="AW26">
        <v>-18.5</v>
      </c>
      <c r="AX26" t="s">
        <v>211</v>
      </c>
      <c r="AY26" t="s">
        <v>204</v>
      </c>
      <c r="AZ26">
        <v>0</v>
      </c>
      <c r="BA26">
        <v>-20.5</v>
      </c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7">
        <f t="shared" si="0"/>
        <v>4</v>
      </c>
    </row>
    <row r="27" spans="1:66" x14ac:dyDescent="0.25">
      <c r="A27" s="2" t="s">
        <v>212</v>
      </c>
      <c r="B27" t="s">
        <v>47</v>
      </c>
      <c r="C27">
        <v>-9.5</v>
      </c>
      <c r="D27">
        <v>0</v>
      </c>
      <c r="E27">
        <v>-1.5</v>
      </c>
      <c r="F27" t="s">
        <v>213</v>
      </c>
      <c r="G27">
        <v>1.5</v>
      </c>
      <c r="H27">
        <v>1</v>
      </c>
      <c r="I27">
        <v>25.5</v>
      </c>
      <c r="J27" t="s">
        <v>106</v>
      </c>
      <c r="K27">
        <v>-6.5</v>
      </c>
      <c r="L27">
        <v>0</v>
      </c>
      <c r="M27">
        <v>-7.5</v>
      </c>
      <c r="N27" t="s">
        <v>66</v>
      </c>
      <c r="O27">
        <v>-3.5</v>
      </c>
      <c r="P27">
        <v>0</v>
      </c>
      <c r="Q27">
        <v>-27.5</v>
      </c>
      <c r="R27" t="s">
        <v>58</v>
      </c>
      <c r="S27" t="s">
        <v>214</v>
      </c>
      <c r="T27">
        <v>0</v>
      </c>
      <c r="U27">
        <v>-4.5</v>
      </c>
      <c r="V27" t="s">
        <v>215</v>
      </c>
      <c r="W27" t="s">
        <v>216</v>
      </c>
      <c r="X27">
        <v>1</v>
      </c>
      <c r="Y27">
        <v>8.5</v>
      </c>
      <c r="Z27" t="s">
        <v>67</v>
      </c>
      <c r="AA27">
        <v>-1.5</v>
      </c>
      <c r="AB27">
        <v>1</v>
      </c>
      <c r="AC27">
        <v>15.5</v>
      </c>
      <c r="AD27" t="s">
        <v>31</v>
      </c>
      <c r="AE27">
        <v>2.5</v>
      </c>
      <c r="AF27">
        <v>0</v>
      </c>
      <c r="AG27">
        <v>-4.5</v>
      </c>
      <c r="AH27" t="s">
        <v>31</v>
      </c>
      <c r="AI27">
        <v>2.5</v>
      </c>
      <c r="AJ27">
        <v>0</v>
      </c>
      <c r="AK27">
        <v>-21.5</v>
      </c>
      <c r="AL27" t="s">
        <v>67</v>
      </c>
      <c r="AM27">
        <v>-1.5</v>
      </c>
      <c r="AN27">
        <v>1</v>
      </c>
      <c r="AO27">
        <v>1.5</v>
      </c>
      <c r="AP27" t="s">
        <v>40</v>
      </c>
      <c r="AQ27">
        <v>6.5</v>
      </c>
      <c r="AR27">
        <v>0</v>
      </c>
      <c r="AS27">
        <v>-14.5</v>
      </c>
      <c r="AT27" s="2" t="s">
        <v>217</v>
      </c>
      <c r="AU27" s="2" t="s">
        <v>88</v>
      </c>
      <c r="AV27">
        <v>-1</v>
      </c>
      <c r="AW27">
        <v>-12.5</v>
      </c>
      <c r="AX27" t="s">
        <v>24</v>
      </c>
      <c r="AY27">
        <v>-3.5</v>
      </c>
      <c r="AZ27">
        <v>1</v>
      </c>
      <c r="BA27">
        <v>16.5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7">
        <f t="shared" si="0"/>
        <v>4</v>
      </c>
    </row>
    <row r="28" spans="1:66" x14ac:dyDescent="0.25">
      <c r="A28" s="2" t="s">
        <v>218</v>
      </c>
      <c r="B28" t="s">
        <v>137</v>
      </c>
      <c r="C28">
        <v>-27.5</v>
      </c>
      <c r="D28">
        <v>1</v>
      </c>
      <c r="E28">
        <v>7.5</v>
      </c>
      <c r="F28" t="s">
        <v>161</v>
      </c>
      <c r="G28">
        <v>-2.5</v>
      </c>
      <c r="H28">
        <v>0</v>
      </c>
      <c r="I28">
        <v>-4.5</v>
      </c>
      <c r="J28" t="s">
        <v>83</v>
      </c>
      <c r="K28">
        <v>1.5</v>
      </c>
      <c r="L28">
        <v>1</v>
      </c>
      <c r="M28">
        <v>8.5</v>
      </c>
      <c r="N28" t="s">
        <v>52</v>
      </c>
      <c r="O28">
        <v>-7.5</v>
      </c>
      <c r="P28">
        <v>0</v>
      </c>
      <c r="Q28">
        <v>-8.5</v>
      </c>
      <c r="R28" t="s">
        <v>28</v>
      </c>
      <c r="S28">
        <v>-2.5</v>
      </c>
      <c r="T28">
        <v>0</v>
      </c>
      <c r="U28">
        <v>-5.5</v>
      </c>
      <c r="V28" t="s">
        <v>72</v>
      </c>
      <c r="W28">
        <v>-24.5</v>
      </c>
      <c r="X28">
        <v>0</v>
      </c>
      <c r="Y28">
        <v>-29.5</v>
      </c>
      <c r="Z28" t="s">
        <v>45</v>
      </c>
      <c r="AA28">
        <v>-2.5</v>
      </c>
      <c r="AB28">
        <v>0</v>
      </c>
      <c r="AC28">
        <v>-9.5</v>
      </c>
      <c r="AD28" t="s">
        <v>34</v>
      </c>
      <c r="AE28">
        <v>-26.5</v>
      </c>
      <c r="AF28">
        <v>0</v>
      </c>
      <c r="AG28">
        <v>-1.5</v>
      </c>
      <c r="AH28" s="2" t="s">
        <v>52</v>
      </c>
      <c r="AI28" s="2">
        <v>-2.5</v>
      </c>
      <c r="AJ28" s="2">
        <v>-1</v>
      </c>
      <c r="AK28">
        <v>-11.5</v>
      </c>
      <c r="AL28" t="s">
        <v>219</v>
      </c>
      <c r="AM28">
        <v>4.5</v>
      </c>
      <c r="AN28">
        <v>1</v>
      </c>
      <c r="AO28">
        <v>16.5</v>
      </c>
      <c r="AP28" t="s">
        <v>109</v>
      </c>
      <c r="AQ28">
        <v>5.5</v>
      </c>
      <c r="AR28">
        <v>1</v>
      </c>
      <c r="AS28">
        <v>3.5</v>
      </c>
      <c r="AT28" t="s">
        <v>28</v>
      </c>
      <c r="AU28">
        <v>-5.5</v>
      </c>
      <c r="AV28">
        <v>1</v>
      </c>
      <c r="AW28">
        <v>19.5</v>
      </c>
      <c r="AX28" t="s">
        <v>52</v>
      </c>
      <c r="AY28">
        <v>8.5</v>
      </c>
      <c r="AZ28">
        <v>0</v>
      </c>
      <c r="BA28">
        <v>-6.5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7">
        <f t="shared" si="0"/>
        <v>4</v>
      </c>
    </row>
    <row r="29" spans="1:66" x14ac:dyDescent="0.25">
      <c r="A29" s="2" t="s">
        <v>220</v>
      </c>
      <c r="B29" t="s">
        <v>67</v>
      </c>
      <c r="C29">
        <v>1.5</v>
      </c>
      <c r="D29">
        <v>0</v>
      </c>
      <c r="E29">
        <v>-8.5</v>
      </c>
      <c r="F29" t="s">
        <v>25</v>
      </c>
      <c r="G29">
        <v>-2.5</v>
      </c>
      <c r="H29">
        <v>1</v>
      </c>
      <c r="I29">
        <v>23.5</v>
      </c>
      <c r="J29" t="s">
        <v>221</v>
      </c>
      <c r="K29" t="s">
        <v>120</v>
      </c>
      <c r="L29">
        <v>0</v>
      </c>
      <c r="M29">
        <v>-9.5</v>
      </c>
      <c r="N29" t="s">
        <v>222</v>
      </c>
      <c r="O29">
        <v>2.5</v>
      </c>
      <c r="P29">
        <v>0</v>
      </c>
      <c r="Q29">
        <v>-7.5</v>
      </c>
      <c r="R29" s="2" t="s">
        <v>143</v>
      </c>
      <c r="S29" s="2">
        <v>-6.5</v>
      </c>
      <c r="T29" s="2">
        <v>-1</v>
      </c>
      <c r="U29">
        <v>-14.5</v>
      </c>
      <c r="V29" t="s">
        <v>67</v>
      </c>
      <c r="W29">
        <v>-5.5</v>
      </c>
      <c r="X29">
        <v>0</v>
      </c>
      <c r="Y29">
        <v>-13.5</v>
      </c>
      <c r="Z29" t="s">
        <v>129</v>
      </c>
      <c r="AA29">
        <v>-2.5</v>
      </c>
      <c r="AB29">
        <v>1</v>
      </c>
      <c r="AC29">
        <v>0.5</v>
      </c>
      <c r="AD29" t="s">
        <v>61</v>
      </c>
      <c r="AE29">
        <v>-6.5</v>
      </c>
      <c r="AF29">
        <v>0</v>
      </c>
      <c r="AG29">
        <v>-10.5</v>
      </c>
      <c r="AH29" t="s">
        <v>54</v>
      </c>
      <c r="AI29">
        <v>-2.5</v>
      </c>
      <c r="AJ29">
        <v>1</v>
      </c>
      <c r="AK29">
        <v>4.5</v>
      </c>
      <c r="AL29" t="s">
        <v>108</v>
      </c>
      <c r="AM29">
        <v>-4.5</v>
      </c>
      <c r="AN29">
        <v>0</v>
      </c>
      <c r="AO29">
        <v>-16.5</v>
      </c>
      <c r="AP29" t="s">
        <v>30</v>
      </c>
      <c r="AQ29">
        <v>-6.5</v>
      </c>
      <c r="AR29">
        <v>1</v>
      </c>
      <c r="AS29">
        <v>14.5</v>
      </c>
      <c r="AT29" t="s">
        <v>35</v>
      </c>
      <c r="AU29">
        <v>12.5</v>
      </c>
      <c r="AV29">
        <v>0</v>
      </c>
      <c r="AW29">
        <v>-9.5</v>
      </c>
      <c r="AX29" t="s">
        <v>48</v>
      </c>
      <c r="AY29">
        <v>-5.5</v>
      </c>
      <c r="AZ29">
        <v>1</v>
      </c>
      <c r="BA29">
        <v>3.5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7">
        <f t="shared" si="0"/>
        <v>4</v>
      </c>
    </row>
    <row r="30" spans="1:66" x14ac:dyDescent="0.25">
      <c r="A30" s="2" t="s">
        <v>223</v>
      </c>
      <c r="B30" t="s">
        <v>47</v>
      </c>
      <c r="C30">
        <v>-7.5</v>
      </c>
      <c r="D30">
        <v>1</v>
      </c>
      <c r="E30">
        <v>0.5</v>
      </c>
      <c r="F30" t="s">
        <v>155</v>
      </c>
      <c r="G30">
        <v>17.5</v>
      </c>
      <c r="H30">
        <v>1</v>
      </c>
      <c r="I30">
        <v>19.5</v>
      </c>
      <c r="J30" t="s">
        <v>106</v>
      </c>
      <c r="K30">
        <v>-6.5</v>
      </c>
      <c r="L30">
        <v>0</v>
      </c>
      <c r="M30">
        <v>-7.5</v>
      </c>
      <c r="N30" s="2" t="s">
        <v>52</v>
      </c>
      <c r="O30" s="2">
        <v>-7.5</v>
      </c>
      <c r="P30" s="2">
        <v>-1</v>
      </c>
      <c r="Q30">
        <v>-8.5</v>
      </c>
      <c r="R30" t="s">
        <v>106</v>
      </c>
      <c r="S30">
        <v>-4.5</v>
      </c>
      <c r="T30">
        <v>1</v>
      </c>
      <c r="U30">
        <v>38.5</v>
      </c>
      <c r="V30" t="s">
        <v>67</v>
      </c>
      <c r="W30">
        <v>-6.5</v>
      </c>
      <c r="X30">
        <v>0</v>
      </c>
      <c r="Y30">
        <v>-14.5</v>
      </c>
      <c r="Z30" t="s">
        <v>24</v>
      </c>
      <c r="AA30">
        <v>-12.5</v>
      </c>
      <c r="AB30">
        <v>0</v>
      </c>
      <c r="AC30">
        <v>-9.5</v>
      </c>
      <c r="AD30" t="s">
        <v>31</v>
      </c>
      <c r="AE30">
        <v>2.5</v>
      </c>
      <c r="AF30">
        <v>0</v>
      </c>
      <c r="AG30">
        <v>-4.5</v>
      </c>
      <c r="AH30" t="s">
        <v>52</v>
      </c>
      <c r="AI30">
        <v>-2.5</v>
      </c>
      <c r="AJ30">
        <v>0</v>
      </c>
      <c r="AK30">
        <v>-11.5</v>
      </c>
      <c r="AL30" t="s">
        <v>28</v>
      </c>
      <c r="AM30">
        <v>-7.5</v>
      </c>
      <c r="AN30">
        <v>0</v>
      </c>
      <c r="AO30">
        <v>-3.5</v>
      </c>
      <c r="AP30" t="s">
        <v>54</v>
      </c>
      <c r="AQ30">
        <v>-6.5</v>
      </c>
      <c r="AR30">
        <v>1</v>
      </c>
      <c r="AS30">
        <v>0.5</v>
      </c>
      <c r="AT30" t="s">
        <v>95</v>
      </c>
      <c r="AU30">
        <v>-2.5</v>
      </c>
      <c r="AV30">
        <v>0</v>
      </c>
      <c r="AW30">
        <v>-3.5</v>
      </c>
      <c r="AX30" t="s">
        <v>108</v>
      </c>
      <c r="AY30">
        <v>-2.5</v>
      </c>
      <c r="AZ30">
        <v>0</v>
      </c>
      <c r="BA30">
        <v>16.5</v>
      </c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7">
        <f t="shared" si="0"/>
        <v>3</v>
      </c>
    </row>
    <row r="31" spans="1:66" x14ac:dyDescent="0.25">
      <c r="A31" s="2" t="s">
        <v>224</v>
      </c>
      <c r="B31" t="s">
        <v>64</v>
      </c>
      <c r="C31">
        <v>-5.5</v>
      </c>
      <c r="D31">
        <v>0</v>
      </c>
      <c r="E31">
        <v>-32.5</v>
      </c>
      <c r="F31" t="s">
        <v>225</v>
      </c>
      <c r="G31" t="s">
        <v>226</v>
      </c>
      <c r="H31">
        <v>1</v>
      </c>
      <c r="I31">
        <v>22.5</v>
      </c>
      <c r="J31" t="s">
        <v>227</v>
      </c>
      <c r="K31" t="s">
        <v>226</v>
      </c>
      <c r="L31">
        <v>0</v>
      </c>
      <c r="M31">
        <v>-2.5</v>
      </c>
      <c r="N31" t="s">
        <v>29</v>
      </c>
      <c r="O31">
        <v>-2.5</v>
      </c>
      <c r="P31">
        <v>1</v>
      </c>
      <c r="Q31">
        <v>0.5</v>
      </c>
      <c r="R31" s="2" t="s">
        <v>143</v>
      </c>
      <c r="S31" s="2">
        <v>-6.5</v>
      </c>
      <c r="T31" s="2">
        <v>-1</v>
      </c>
      <c r="U31">
        <v>-14.5</v>
      </c>
      <c r="V31" t="s">
        <v>228</v>
      </c>
      <c r="W31" t="s">
        <v>150</v>
      </c>
      <c r="X31">
        <v>0</v>
      </c>
      <c r="Y31">
        <v>-3.5</v>
      </c>
      <c r="Z31" t="s">
        <v>83</v>
      </c>
      <c r="AA31">
        <v>-7.5</v>
      </c>
      <c r="AB31">
        <v>0</v>
      </c>
      <c r="AC31">
        <v>-0.5</v>
      </c>
      <c r="AD31" t="s">
        <v>29</v>
      </c>
      <c r="AE31">
        <v>11.5</v>
      </c>
      <c r="AF31">
        <v>0</v>
      </c>
      <c r="AG31">
        <v>-13.5</v>
      </c>
      <c r="AH31" t="s">
        <v>26</v>
      </c>
      <c r="AI31">
        <v>-14.5</v>
      </c>
      <c r="AJ31">
        <v>0</v>
      </c>
      <c r="AK31">
        <v>-7.5</v>
      </c>
      <c r="AL31" t="s">
        <v>34</v>
      </c>
      <c r="AM31">
        <v>-21.5</v>
      </c>
      <c r="AN31">
        <v>1</v>
      </c>
      <c r="AO31">
        <v>23.5</v>
      </c>
      <c r="AP31" t="s">
        <v>34</v>
      </c>
      <c r="AQ31">
        <v>-15.5</v>
      </c>
      <c r="AR31">
        <v>0</v>
      </c>
      <c r="AS31">
        <v>-12.5</v>
      </c>
      <c r="AT31" t="s">
        <v>95</v>
      </c>
      <c r="AU31">
        <v>-2.5</v>
      </c>
      <c r="AV31">
        <v>0</v>
      </c>
      <c r="AW31">
        <v>-3.5</v>
      </c>
      <c r="AX31" t="s">
        <v>87</v>
      </c>
      <c r="AY31" t="s">
        <v>88</v>
      </c>
      <c r="AZ31">
        <v>1</v>
      </c>
      <c r="BA31">
        <v>31.5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7">
        <f t="shared" si="0"/>
        <v>3</v>
      </c>
    </row>
    <row r="32" spans="1:66" x14ac:dyDescent="0.25">
      <c r="A32" t="s">
        <v>229</v>
      </c>
      <c r="B32" t="s">
        <v>100</v>
      </c>
      <c r="C32">
        <v>-7.5</v>
      </c>
      <c r="D32">
        <v>1</v>
      </c>
      <c r="E32">
        <v>5.5</v>
      </c>
      <c r="F32" t="s">
        <v>77</v>
      </c>
      <c r="G32">
        <v>6.5</v>
      </c>
      <c r="H32">
        <v>1</v>
      </c>
      <c r="I32">
        <v>10.5</v>
      </c>
      <c r="J32" t="s">
        <v>100</v>
      </c>
      <c r="K32">
        <v>-4.5</v>
      </c>
      <c r="L32">
        <v>0</v>
      </c>
      <c r="M32">
        <v>-28.5</v>
      </c>
      <c r="N32" t="s">
        <v>52</v>
      </c>
      <c r="O32">
        <v>-7.5</v>
      </c>
      <c r="P32">
        <v>0</v>
      </c>
      <c r="Q32">
        <v>-8.5</v>
      </c>
      <c r="R32" t="s">
        <v>31</v>
      </c>
      <c r="S32">
        <v>1.5</v>
      </c>
      <c r="T32">
        <v>0</v>
      </c>
      <c r="U32">
        <v>-3.5</v>
      </c>
      <c r="V32" t="s">
        <v>167</v>
      </c>
      <c r="W32">
        <v>16.5</v>
      </c>
      <c r="X32">
        <v>0</v>
      </c>
      <c r="Y32">
        <v>-5.5</v>
      </c>
      <c r="Z32" t="s">
        <v>48</v>
      </c>
      <c r="AA32">
        <v>1.5</v>
      </c>
      <c r="AB32">
        <v>0</v>
      </c>
      <c r="AC32">
        <v>-15.5</v>
      </c>
      <c r="AD32" t="s">
        <v>30</v>
      </c>
      <c r="AE32">
        <v>-7.5</v>
      </c>
      <c r="AF32">
        <v>0</v>
      </c>
      <c r="AG32">
        <v>-4.5</v>
      </c>
      <c r="AH32" t="s">
        <v>40</v>
      </c>
      <c r="AI32">
        <v>2.5</v>
      </c>
      <c r="AJ32">
        <v>0</v>
      </c>
      <c r="AK32">
        <v>-4.5</v>
      </c>
      <c r="AL32" t="s">
        <v>108</v>
      </c>
      <c r="AM32">
        <v>-4.5</v>
      </c>
      <c r="AN32">
        <v>0</v>
      </c>
      <c r="AO32">
        <v>-16.5</v>
      </c>
      <c r="AP32" t="s">
        <v>109</v>
      </c>
      <c r="AQ32">
        <v>6.5</v>
      </c>
      <c r="AR32">
        <v>1</v>
      </c>
      <c r="AS32">
        <v>4.5</v>
      </c>
      <c r="AT32" t="s">
        <v>27</v>
      </c>
      <c r="AU32">
        <v>-11.5</v>
      </c>
      <c r="AV32">
        <v>0</v>
      </c>
      <c r="AW32">
        <v>-1.5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7">
        <f t="shared" si="0"/>
        <v>3</v>
      </c>
    </row>
    <row r="33" spans="1:66" x14ac:dyDescent="0.25">
      <c r="A33" s="2" t="s">
        <v>230</v>
      </c>
      <c r="B33" t="s">
        <v>26</v>
      </c>
      <c r="C33">
        <v>-14.5</v>
      </c>
      <c r="D33">
        <v>0</v>
      </c>
      <c r="E33">
        <v>-28.5</v>
      </c>
      <c r="F33" t="s">
        <v>45</v>
      </c>
      <c r="G33">
        <v>-3.5</v>
      </c>
      <c r="H33">
        <v>0</v>
      </c>
      <c r="I33">
        <v>-0.5</v>
      </c>
      <c r="J33" t="s">
        <v>31</v>
      </c>
      <c r="K33">
        <v>-6.5</v>
      </c>
      <c r="L33">
        <v>1</v>
      </c>
      <c r="M33">
        <v>3.5</v>
      </c>
      <c r="N33" t="s">
        <v>40</v>
      </c>
      <c r="O33">
        <v>-9.5</v>
      </c>
      <c r="P33">
        <v>0</v>
      </c>
      <c r="Q33">
        <v>-0.5</v>
      </c>
      <c r="R33" t="s">
        <v>28</v>
      </c>
      <c r="S33">
        <v>-2.5</v>
      </c>
      <c r="T33">
        <v>0</v>
      </c>
      <c r="U33">
        <v>-5.5</v>
      </c>
      <c r="V33" t="s">
        <v>67</v>
      </c>
      <c r="W33">
        <v>-5.5</v>
      </c>
      <c r="X33">
        <v>0</v>
      </c>
      <c r="Y33">
        <v>-13.5</v>
      </c>
      <c r="Z33" t="s">
        <v>48</v>
      </c>
      <c r="AA33">
        <v>1.5</v>
      </c>
      <c r="AB33">
        <v>0</v>
      </c>
      <c r="AC33">
        <v>-15.5</v>
      </c>
      <c r="AD33" t="s">
        <v>124</v>
      </c>
      <c r="AE33">
        <v>-2.5</v>
      </c>
      <c r="AF33">
        <v>1</v>
      </c>
      <c r="AG33">
        <v>3.5</v>
      </c>
      <c r="AH33" t="s">
        <v>54</v>
      </c>
      <c r="AI33">
        <v>-2.5</v>
      </c>
      <c r="AJ33">
        <v>1</v>
      </c>
      <c r="AK33">
        <v>4.5</v>
      </c>
      <c r="AL33" t="s">
        <v>108</v>
      </c>
      <c r="AM33">
        <v>-4.5</v>
      </c>
      <c r="AN33">
        <v>0</v>
      </c>
      <c r="AO33">
        <v>-16.5</v>
      </c>
      <c r="AP33" t="s">
        <v>54</v>
      </c>
      <c r="AQ33">
        <v>-6.5</v>
      </c>
      <c r="AR33">
        <v>1</v>
      </c>
      <c r="AS33">
        <v>0.5</v>
      </c>
      <c r="AT33" s="2" t="s">
        <v>95</v>
      </c>
      <c r="AU33" s="2">
        <v>-2.5</v>
      </c>
      <c r="AV33">
        <v>-1</v>
      </c>
      <c r="AW33">
        <v>-3.5</v>
      </c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7">
        <f t="shared" si="0"/>
        <v>3</v>
      </c>
    </row>
    <row r="34" spans="1:66" x14ac:dyDescent="0.25">
      <c r="A34" t="s">
        <v>231</v>
      </c>
      <c r="B34" t="s">
        <v>26</v>
      </c>
      <c r="C34">
        <v>-13.5</v>
      </c>
      <c r="D34">
        <v>0</v>
      </c>
      <c r="E34">
        <v>-27.5</v>
      </c>
      <c r="F34" t="s">
        <v>91</v>
      </c>
      <c r="G34">
        <v>-3.5</v>
      </c>
      <c r="H34">
        <v>0</v>
      </c>
      <c r="I34">
        <v>-10.5</v>
      </c>
      <c r="J34" t="s">
        <v>100</v>
      </c>
      <c r="K34">
        <v>-3.5</v>
      </c>
      <c r="L34">
        <v>0</v>
      </c>
      <c r="M34">
        <v>-27.5</v>
      </c>
      <c r="N34" t="s">
        <v>48</v>
      </c>
      <c r="O34">
        <v>-6.5</v>
      </c>
      <c r="P34">
        <v>1</v>
      </c>
      <c r="Q34">
        <v>0.5</v>
      </c>
      <c r="R34" t="s">
        <v>28</v>
      </c>
      <c r="S34">
        <v>-2.5</v>
      </c>
      <c r="T34">
        <v>0</v>
      </c>
      <c r="U34">
        <v>-5.5</v>
      </c>
      <c r="V34" t="s">
        <v>232</v>
      </c>
      <c r="W34">
        <v>-6.5</v>
      </c>
      <c r="X34">
        <v>1</v>
      </c>
      <c r="Y34">
        <v>14.5</v>
      </c>
      <c r="Z34" t="s">
        <v>129</v>
      </c>
      <c r="AA34">
        <v>-2.5</v>
      </c>
      <c r="AB34">
        <v>1</v>
      </c>
      <c r="AC34">
        <v>0.5</v>
      </c>
      <c r="AD34" t="s">
        <v>63</v>
      </c>
      <c r="AE34">
        <v>-13.5</v>
      </c>
      <c r="AF34">
        <v>0</v>
      </c>
      <c r="AG34">
        <v>-16.5</v>
      </c>
      <c r="AH34" t="s">
        <v>52</v>
      </c>
      <c r="AI34">
        <v>-2.5</v>
      </c>
      <c r="AJ34">
        <v>0</v>
      </c>
      <c r="AK34">
        <v>-11.5</v>
      </c>
      <c r="AL34" t="s">
        <v>29</v>
      </c>
      <c r="AM34">
        <v>-5.5</v>
      </c>
      <c r="AN34">
        <v>0</v>
      </c>
      <c r="AO34">
        <v>-10.5</v>
      </c>
      <c r="AP34" t="s">
        <v>53</v>
      </c>
      <c r="AQ34">
        <v>-6.5</v>
      </c>
      <c r="AR34">
        <v>0</v>
      </c>
      <c r="AS34">
        <v>-4.5</v>
      </c>
      <c r="AT34" t="s">
        <v>26</v>
      </c>
      <c r="AU34">
        <v>-5.5</v>
      </c>
      <c r="AV34">
        <v>0</v>
      </c>
      <c r="AW34">
        <v>-7.5</v>
      </c>
      <c r="AX34" t="s">
        <v>108</v>
      </c>
      <c r="AY34">
        <v>-2.5</v>
      </c>
      <c r="AZ34">
        <v>0</v>
      </c>
      <c r="BA34">
        <v>-16.5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7">
        <f t="shared" si="0"/>
        <v>3</v>
      </c>
    </row>
    <row r="35" spans="1:66" x14ac:dyDescent="0.25">
      <c r="A35" t="s">
        <v>233</v>
      </c>
      <c r="B35" t="s">
        <v>67</v>
      </c>
      <c r="C35">
        <v>1.5</v>
      </c>
      <c r="D35">
        <v>0</v>
      </c>
      <c r="E35">
        <v>-8.5</v>
      </c>
      <c r="F35" t="s">
        <v>83</v>
      </c>
      <c r="G35">
        <v>-9.5</v>
      </c>
      <c r="H35">
        <v>0</v>
      </c>
      <c r="I35">
        <v>-7.5</v>
      </c>
      <c r="J35" t="s">
        <v>35</v>
      </c>
      <c r="K35">
        <v>-6.5</v>
      </c>
      <c r="L35">
        <v>0</v>
      </c>
      <c r="M35">
        <v>-13.5</v>
      </c>
      <c r="N35" t="s">
        <v>56</v>
      </c>
      <c r="O35">
        <v>-7.5</v>
      </c>
      <c r="P35">
        <v>1</v>
      </c>
      <c r="Q35">
        <v>13.5</v>
      </c>
      <c r="R35" t="s">
        <v>56</v>
      </c>
      <c r="S35">
        <v>-6.5</v>
      </c>
      <c r="T35">
        <v>0</v>
      </c>
      <c r="U35">
        <v>-3.5</v>
      </c>
      <c r="V35" t="s">
        <v>26</v>
      </c>
      <c r="W35">
        <v>-10.5</v>
      </c>
      <c r="X35">
        <v>1</v>
      </c>
      <c r="Y35">
        <v>5.5</v>
      </c>
      <c r="Z35" t="s">
        <v>124</v>
      </c>
      <c r="AA35">
        <v>-1.5</v>
      </c>
      <c r="AB35">
        <v>0</v>
      </c>
      <c r="AC35">
        <v>-14.5</v>
      </c>
      <c r="AD35" t="s">
        <v>83</v>
      </c>
      <c r="AE35">
        <v>-9.5</v>
      </c>
      <c r="AF35">
        <v>0</v>
      </c>
      <c r="AG35">
        <v>-2.5</v>
      </c>
      <c r="AH35" t="s">
        <v>234</v>
      </c>
      <c r="AI35">
        <v>-9.5</v>
      </c>
      <c r="AJ35">
        <v>0</v>
      </c>
      <c r="AK35">
        <v>-17.5</v>
      </c>
      <c r="AL35" t="s">
        <v>195</v>
      </c>
      <c r="AP35" t="s">
        <v>195</v>
      </c>
      <c r="AT35" t="s">
        <v>195</v>
      </c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7">
        <f t="shared" si="0"/>
        <v>2</v>
      </c>
    </row>
    <row r="36" spans="1:66" x14ac:dyDescent="0.25">
      <c r="A36" s="2" t="s">
        <v>235</v>
      </c>
      <c r="B36" t="s">
        <v>78</v>
      </c>
      <c r="C36">
        <v>-4.5</v>
      </c>
      <c r="D36">
        <v>1</v>
      </c>
      <c r="E36">
        <v>2.5</v>
      </c>
      <c r="F36" t="s">
        <v>45</v>
      </c>
      <c r="G36">
        <v>-3.5</v>
      </c>
      <c r="H36">
        <v>0</v>
      </c>
      <c r="I36">
        <v>-0.5</v>
      </c>
      <c r="J36" t="s">
        <v>100</v>
      </c>
      <c r="K36">
        <v>-5.5</v>
      </c>
      <c r="L36">
        <v>0</v>
      </c>
      <c r="M36">
        <v>-29.5</v>
      </c>
      <c r="N36" t="s">
        <v>33</v>
      </c>
      <c r="O36">
        <v>-1.5</v>
      </c>
      <c r="P36">
        <v>0</v>
      </c>
      <c r="Q36">
        <v>-4.5</v>
      </c>
      <c r="R36" s="2" t="s">
        <v>31</v>
      </c>
      <c r="S36" s="2">
        <v>1.5</v>
      </c>
      <c r="T36" s="2">
        <v>-1</v>
      </c>
      <c r="U36">
        <v>-3.5</v>
      </c>
      <c r="V36" t="s">
        <v>41</v>
      </c>
      <c r="W36">
        <v>-2.5</v>
      </c>
      <c r="X36">
        <v>1</v>
      </c>
      <c r="Y36">
        <v>21.5</v>
      </c>
      <c r="Z36" t="s">
        <v>129</v>
      </c>
      <c r="AA36">
        <v>-2.5</v>
      </c>
      <c r="AB36">
        <v>1</v>
      </c>
      <c r="AC36">
        <v>0.5</v>
      </c>
      <c r="AD36" t="s">
        <v>31</v>
      </c>
      <c r="AE36">
        <v>2.5</v>
      </c>
      <c r="AF36">
        <v>0</v>
      </c>
      <c r="AG36">
        <v>-4.5</v>
      </c>
      <c r="AH36" t="s">
        <v>52</v>
      </c>
      <c r="AI36">
        <v>-2.5</v>
      </c>
      <c r="AJ36">
        <v>0</v>
      </c>
      <c r="AK36">
        <v>-11.5</v>
      </c>
      <c r="AL36" t="s">
        <v>195</v>
      </c>
      <c r="AP36" t="s">
        <v>195</v>
      </c>
      <c r="AT36" t="s">
        <v>195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7">
        <f t="shared" si="0"/>
        <v>2</v>
      </c>
    </row>
    <row r="37" spans="1:66" x14ac:dyDescent="0.25">
      <c r="A37" s="2" t="s">
        <v>236</v>
      </c>
      <c r="B37" t="s">
        <v>100</v>
      </c>
      <c r="C37">
        <v>-7.5</v>
      </c>
      <c r="D37">
        <v>1</v>
      </c>
      <c r="E37">
        <v>5.5</v>
      </c>
      <c r="F37" t="s">
        <v>160</v>
      </c>
      <c r="G37" t="s">
        <v>118</v>
      </c>
      <c r="H37">
        <v>0</v>
      </c>
      <c r="I37">
        <v>-19.5</v>
      </c>
      <c r="J37" t="s">
        <v>227</v>
      </c>
      <c r="K37" t="s">
        <v>118</v>
      </c>
      <c r="L37">
        <v>0</v>
      </c>
      <c r="M37">
        <v>-1.5</v>
      </c>
      <c r="N37" t="s">
        <v>52</v>
      </c>
      <c r="O37">
        <v>-7.5</v>
      </c>
      <c r="P37">
        <v>0</v>
      </c>
      <c r="Q37">
        <v>-8.5</v>
      </c>
      <c r="R37" t="s">
        <v>28</v>
      </c>
      <c r="S37">
        <v>-2.5</v>
      </c>
      <c r="T37">
        <v>0</v>
      </c>
      <c r="U37">
        <v>-5.5</v>
      </c>
      <c r="V37" t="s">
        <v>67</v>
      </c>
      <c r="W37">
        <v>-4.5</v>
      </c>
      <c r="X37">
        <v>0</v>
      </c>
      <c r="Y37">
        <v>-12.5</v>
      </c>
      <c r="Z37" t="s">
        <v>45</v>
      </c>
      <c r="AA37">
        <v>-2.5</v>
      </c>
      <c r="AB37">
        <v>0</v>
      </c>
      <c r="AC37">
        <v>-9.5</v>
      </c>
      <c r="AD37" t="s">
        <v>56</v>
      </c>
      <c r="AE37">
        <v>3.5</v>
      </c>
      <c r="AF37">
        <v>1</v>
      </c>
      <c r="AG37">
        <v>6.5</v>
      </c>
      <c r="AH37" s="2" t="s">
        <v>52</v>
      </c>
      <c r="AI37" s="2">
        <v>-2.5</v>
      </c>
      <c r="AJ37" s="2">
        <v>-1</v>
      </c>
      <c r="AK37">
        <v>-11.5</v>
      </c>
      <c r="AL37" t="s">
        <v>28</v>
      </c>
      <c r="AM37">
        <v>-6.5</v>
      </c>
      <c r="AN37">
        <v>0</v>
      </c>
      <c r="AO37">
        <v>-2.5</v>
      </c>
      <c r="AP37" t="s">
        <v>237</v>
      </c>
      <c r="AQ37" t="s">
        <v>118</v>
      </c>
      <c r="AR37">
        <v>0</v>
      </c>
      <c r="AS37">
        <v>-13.5</v>
      </c>
      <c r="AT37" t="s">
        <v>195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7">
        <f t="shared" si="0"/>
        <v>1</v>
      </c>
    </row>
    <row r="38" spans="1:66" x14ac:dyDescent="0.25">
      <c r="A38" s="10" t="s">
        <v>238</v>
      </c>
      <c r="B38" s="11"/>
      <c r="C38" s="11"/>
      <c r="D38" s="11">
        <f>SUM(D36:D37)</f>
        <v>2</v>
      </c>
      <c r="E38" s="11">
        <f>SUM(E36:E37)</f>
        <v>8</v>
      </c>
      <c r="F38" s="11"/>
      <c r="G38" s="11"/>
      <c r="H38" s="11">
        <f>SUM(H36:H37)</f>
        <v>0</v>
      </c>
      <c r="I38" s="11">
        <f>SUM(I36:I37)</f>
        <v>-20</v>
      </c>
      <c r="J38" s="11"/>
      <c r="K38" s="11"/>
      <c r="L38" s="11">
        <f>SUM(L36:L37)</f>
        <v>0</v>
      </c>
      <c r="M38" s="11">
        <f>SUM(M36:M37)</f>
        <v>-31</v>
      </c>
      <c r="N38" s="11"/>
      <c r="O38" s="11"/>
      <c r="P38" s="11">
        <f>SUM(P36:P37)</f>
        <v>0</v>
      </c>
      <c r="Q38" s="11">
        <f>SUM(Q36:Q37)</f>
        <v>-13</v>
      </c>
      <c r="R38" s="11"/>
      <c r="S38" s="11"/>
      <c r="T38" s="11">
        <f>SUM(T36:T37)</f>
        <v>-1</v>
      </c>
      <c r="U38" s="11">
        <f>SUM(U36:U37)</f>
        <v>-9</v>
      </c>
      <c r="V38" s="11"/>
      <c r="W38" s="11"/>
      <c r="X38" s="11">
        <f>SUM(X36:X37)</f>
        <v>1</v>
      </c>
      <c r="Y38" s="11">
        <f>SUM(Y36:Y37)</f>
        <v>9</v>
      </c>
      <c r="Z38" s="11"/>
      <c r="AA38" s="11"/>
      <c r="AB38" s="11">
        <f>SUM(AB36:AB37)</f>
        <v>1</v>
      </c>
      <c r="AC38" s="11">
        <f>SUM(AC36:AC37)</f>
        <v>-9</v>
      </c>
      <c r="AD38" s="11"/>
      <c r="AE38" s="11"/>
      <c r="AF38" s="11">
        <f>SUM(AF36:AF37)</f>
        <v>1</v>
      </c>
      <c r="AG38" s="11">
        <f>SUM(AG36:AG37)</f>
        <v>2</v>
      </c>
      <c r="AH38" s="11"/>
      <c r="AI38" s="11"/>
      <c r="AJ38" s="11">
        <f>SUM(AJ36:AJ37)</f>
        <v>-1</v>
      </c>
      <c r="AK38" s="11">
        <f>SUM(AK36:AK37)</f>
        <v>-23</v>
      </c>
      <c r="AL38" s="11"/>
      <c r="AM38" s="11"/>
      <c r="AN38" s="11">
        <f>SUM(AN36:AN37)</f>
        <v>0</v>
      </c>
      <c r="AO38" s="11">
        <f>SUM(AO36:AO37)</f>
        <v>-2.5</v>
      </c>
      <c r="AP38" s="11"/>
      <c r="AQ38" s="11"/>
      <c r="AR38" s="11">
        <f>SUM(AR36:AR37)</f>
        <v>0</v>
      </c>
      <c r="AS38" s="11">
        <f>SUM(AS36:AS37)</f>
        <v>-13.5</v>
      </c>
      <c r="AT38" s="11"/>
      <c r="AU38" s="11"/>
      <c r="AV38" s="11">
        <f>SUM(AV3:AV37)</f>
        <v>10</v>
      </c>
      <c r="AW38" s="11">
        <f>SUM(AW3:AW37)</f>
        <v>-59</v>
      </c>
      <c r="AX38" s="11"/>
      <c r="AY38" s="11"/>
      <c r="AZ38" s="11">
        <f>SUM(AZ3:AZ37)</f>
        <v>19</v>
      </c>
      <c r="BA38" s="11">
        <f>SUM(BA3:BA37)</f>
        <v>141</v>
      </c>
      <c r="BB38" s="11"/>
      <c r="BC38" s="11"/>
      <c r="BD38" s="11">
        <f>SUM(BD36:BD37)</f>
        <v>0</v>
      </c>
      <c r="BE38" s="11">
        <f>SUM(BE36:BE37)</f>
        <v>0</v>
      </c>
      <c r="BF38" s="11"/>
      <c r="BG38" s="11"/>
      <c r="BH38" s="11">
        <f>SUM(BH36:BH37)</f>
        <v>0</v>
      </c>
      <c r="BI38" s="11">
        <f>SUM(BI36:BI37)</f>
        <v>0</v>
      </c>
      <c r="BJ38" s="11"/>
      <c r="BK38" s="11"/>
      <c r="BL38" s="11">
        <f>SUM(BL36:BL37)</f>
        <v>0</v>
      </c>
      <c r="BM38" s="11">
        <f>SUM(BM36:BM37)</f>
        <v>0</v>
      </c>
      <c r="BN38" s="9"/>
    </row>
    <row r="40" spans="1:66" x14ac:dyDescent="0.25">
      <c r="A40" s="12" t="s">
        <v>239</v>
      </c>
    </row>
    <row r="41" spans="1:66" x14ac:dyDescent="0.25">
      <c r="A41" s="15">
        <v>2000</v>
      </c>
    </row>
    <row r="42" spans="1:66" x14ac:dyDescent="0.25">
      <c r="A42" s="13">
        <v>750</v>
      </c>
    </row>
    <row r="43" spans="1:66" x14ac:dyDescent="0.25">
      <c r="A43" s="14">
        <v>250</v>
      </c>
    </row>
  </sheetData>
  <autoFilter ref="A2:BN37" xr:uid="{BA4D9B8D-CCAB-40D7-A62A-28DCB73C49AD}">
    <sortState xmlns:xlrd2="http://schemas.microsoft.com/office/spreadsheetml/2017/richdata2" ref="A3:BN38">
      <sortCondition descending="1" ref="BN2:BN37"/>
    </sortState>
  </autoFilter>
  <mergeCells count="16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BJ1:BM1"/>
    <mergeCell ref="AP1:AS1"/>
    <mergeCell ref="AT1:AW1"/>
    <mergeCell ref="AX1:BA1"/>
    <mergeCell ref="BB1:BE1"/>
    <mergeCell ref="BF1:B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211-D6F7-44D7-8380-C0378D241EDE}">
  <dimension ref="A1:C36"/>
  <sheetViews>
    <sheetView workbookViewId="0">
      <selection activeCell="B33" sqref="B33"/>
    </sheetView>
  </sheetViews>
  <sheetFormatPr defaultRowHeight="15" x14ac:dyDescent="0.25"/>
  <cols>
    <col min="1" max="1" width="13.28515625" bestFit="1" customWidth="1"/>
    <col min="2" max="2" width="12.140625" bestFit="1" customWidth="1"/>
  </cols>
  <sheetData>
    <row r="1" spans="1:3" x14ac:dyDescent="0.25">
      <c r="A1" t="s">
        <v>18</v>
      </c>
      <c r="B1" t="s">
        <v>240</v>
      </c>
      <c r="C1" t="s">
        <v>241</v>
      </c>
    </row>
    <row r="2" spans="1:3" x14ac:dyDescent="0.25">
      <c r="A2" t="s">
        <v>165</v>
      </c>
      <c r="B2" t="s">
        <v>242</v>
      </c>
      <c r="C2">
        <v>100</v>
      </c>
    </row>
    <row r="3" spans="1:3" x14ac:dyDescent="0.25">
      <c r="A3" t="s">
        <v>23</v>
      </c>
      <c r="B3" t="s">
        <v>243</v>
      </c>
      <c r="C3">
        <v>100</v>
      </c>
    </row>
    <row r="4" spans="1:3" x14ac:dyDescent="0.25">
      <c r="A4" t="s">
        <v>223</v>
      </c>
      <c r="B4" t="s">
        <v>244</v>
      </c>
      <c r="C4">
        <v>100</v>
      </c>
    </row>
    <row r="5" spans="1:3" x14ac:dyDescent="0.25">
      <c r="A5" t="s">
        <v>224</v>
      </c>
      <c r="B5" t="s">
        <v>245</v>
      </c>
      <c r="C5">
        <v>100</v>
      </c>
    </row>
    <row r="6" spans="1:3" x14ac:dyDescent="0.25">
      <c r="A6" t="s">
        <v>65</v>
      </c>
      <c r="B6" t="s">
        <v>246</v>
      </c>
      <c r="C6">
        <v>100</v>
      </c>
    </row>
    <row r="7" spans="1:3" x14ac:dyDescent="0.25">
      <c r="A7" t="s">
        <v>194</v>
      </c>
      <c r="B7" t="s">
        <v>247</v>
      </c>
      <c r="C7">
        <v>100</v>
      </c>
    </row>
    <row r="8" spans="1:3" x14ac:dyDescent="0.25">
      <c r="A8" t="s">
        <v>102</v>
      </c>
      <c r="B8" t="s">
        <v>248</v>
      </c>
      <c r="C8">
        <v>100</v>
      </c>
    </row>
    <row r="9" spans="1:3" x14ac:dyDescent="0.25">
      <c r="A9" t="s">
        <v>189</v>
      </c>
      <c r="B9" t="s">
        <v>249</v>
      </c>
      <c r="C9">
        <v>100</v>
      </c>
    </row>
    <row r="10" spans="1:3" x14ac:dyDescent="0.25">
      <c r="A10" t="s">
        <v>121</v>
      </c>
      <c r="B10" t="s">
        <v>250</v>
      </c>
      <c r="C10">
        <v>100</v>
      </c>
    </row>
    <row r="11" spans="1:3" x14ac:dyDescent="0.25">
      <c r="A11" t="s">
        <v>130</v>
      </c>
      <c r="B11" t="s">
        <v>251</v>
      </c>
      <c r="C11">
        <v>100</v>
      </c>
    </row>
    <row r="12" spans="1:3" x14ac:dyDescent="0.25">
      <c r="A12" t="s">
        <v>197</v>
      </c>
      <c r="B12" t="s">
        <v>252</v>
      </c>
      <c r="C12">
        <v>100</v>
      </c>
    </row>
    <row r="13" spans="1:3" x14ac:dyDescent="0.25">
      <c r="A13" t="s">
        <v>229</v>
      </c>
      <c r="B13" t="s">
        <v>253</v>
      </c>
      <c r="C13">
        <v>100</v>
      </c>
    </row>
    <row r="14" spans="1:3" x14ac:dyDescent="0.25">
      <c r="A14" t="s">
        <v>158</v>
      </c>
      <c r="B14" t="s">
        <v>254</v>
      </c>
      <c r="C14">
        <v>100</v>
      </c>
    </row>
    <row r="15" spans="1:3" x14ac:dyDescent="0.25">
      <c r="A15" t="s">
        <v>82</v>
      </c>
      <c r="B15" t="s">
        <v>255</v>
      </c>
      <c r="C15">
        <v>100</v>
      </c>
    </row>
    <row r="16" spans="1:3" x14ac:dyDescent="0.25">
      <c r="A16" t="s">
        <v>142</v>
      </c>
      <c r="B16" t="s">
        <v>256</v>
      </c>
      <c r="C16">
        <v>100</v>
      </c>
    </row>
    <row r="17" spans="1:3" x14ac:dyDescent="0.25">
      <c r="A17" t="s">
        <v>112</v>
      </c>
      <c r="B17" t="s">
        <v>257</v>
      </c>
      <c r="C17">
        <v>100</v>
      </c>
    </row>
    <row r="18" spans="1:3" x14ac:dyDescent="0.25">
      <c r="A18" t="s">
        <v>201</v>
      </c>
      <c r="B18" t="s">
        <v>258</v>
      </c>
      <c r="C18">
        <v>100</v>
      </c>
    </row>
    <row r="19" spans="1:3" x14ac:dyDescent="0.25">
      <c r="A19" t="s">
        <v>57</v>
      </c>
      <c r="B19" t="s">
        <v>259</v>
      </c>
      <c r="C19">
        <v>100</v>
      </c>
    </row>
    <row r="20" spans="1:3" x14ac:dyDescent="0.25">
      <c r="A20" t="s">
        <v>212</v>
      </c>
      <c r="B20" t="s">
        <v>260</v>
      </c>
      <c r="C20">
        <v>100</v>
      </c>
    </row>
    <row r="21" spans="1:3" x14ac:dyDescent="0.25">
      <c r="A21" t="s">
        <v>76</v>
      </c>
      <c r="B21" t="s">
        <v>261</v>
      </c>
      <c r="C21">
        <v>100</v>
      </c>
    </row>
    <row r="22" spans="1:3" x14ac:dyDescent="0.25">
      <c r="A22" t="s">
        <v>230</v>
      </c>
      <c r="B22" t="s">
        <v>262</v>
      </c>
      <c r="C22">
        <v>100</v>
      </c>
    </row>
    <row r="23" spans="1:3" x14ac:dyDescent="0.25">
      <c r="A23" t="s">
        <v>90</v>
      </c>
      <c r="B23" t="s">
        <v>263</v>
      </c>
      <c r="C23">
        <v>100</v>
      </c>
    </row>
    <row r="24" spans="1:3" x14ac:dyDescent="0.25">
      <c r="A24" t="s">
        <v>151</v>
      </c>
      <c r="B24" t="s">
        <v>264</v>
      </c>
      <c r="C24">
        <v>100</v>
      </c>
    </row>
    <row r="25" spans="1:3" x14ac:dyDescent="0.25">
      <c r="A25" t="s">
        <v>172</v>
      </c>
      <c r="B25" t="s">
        <v>265</v>
      </c>
      <c r="C25">
        <v>100</v>
      </c>
    </row>
    <row r="26" spans="1:3" x14ac:dyDescent="0.25">
      <c r="A26" t="s">
        <v>50</v>
      </c>
      <c r="B26" t="s">
        <v>266</v>
      </c>
      <c r="C26">
        <v>100</v>
      </c>
    </row>
    <row r="27" spans="1:3" x14ac:dyDescent="0.25">
      <c r="A27" t="s">
        <v>37</v>
      </c>
      <c r="C27">
        <v>100</v>
      </c>
    </row>
    <row r="28" spans="1:3" x14ac:dyDescent="0.25">
      <c r="A28" t="s">
        <v>231</v>
      </c>
      <c r="B28" t="s">
        <v>267</v>
      </c>
      <c r="C28">
        <v>100</v>
      </c>
    </row>
    <row r="29" spans="1:3" x14ac:dyDescent="0.25">
      <c r="A29" t="s">
        <v>233</v>
      </c>
      <c r="B29" t="s">
        <v>268</v>
      </c>
      <c r="C29">
        <v>100</v>
      </c>
    </row>
    <row r="30" spans="1:3" x14ac:dyDescent="0.25">
      <c r="A30" t="s">
        <v>218</v>
      </c>
      <c r="B30" t="s">
        <v>269</v>
      </c>
      <c r="C30">
        <v>100</v>
      </c>
    </row>
    <row r="31" spans="1:3" x14ac:dyDescent="0.25">
      <c r="A31" t="s">
        <v>99</v>
      </c>
      <c r="B31" t="s">
        <v>270</v>
      </c>
      <c r="C31">
        <v>100</v>
      </c>
    </row>
    <row r="32" spans="1:3" x14ac:dyDescent="0.25">
      <c r="A32" t="s">
        <v>174</v>
      </c>
      <c r="B32" t="s">
        <v>271</v>
      </c>
      <c r="C32">
        <v>100</v>
      </c>
    </row>
    <row r="33" spans="1:3" x14ac:dyDescent="0.25">
      <c r="A33" t="s">
        <v>220</v>
      </c>
      <c r="B33" t="s">
        <v>272</v>
      </c>
      <c r="C33">
        <v>100</v>
      </c>
    </row>
    <row r="34" spans="1:3" x14ac:dyDescent="0.25">
      <c r="A34" t="s">
        <v>235</v>
      </c>
      <c r="B34" t="s">
        <v>273</v>
      </c>
      <c r="C34">
        <v>100</v>
      </c>
    </row>
    <row r="35" spans="1:3" x14ac:dyDescent="0.25">
      <c r="A35" t="s">
        <v>236</v>
      </c>
      <c r="B35" t="s">
        <v>274</v>
      </c>
      <c r="C35">
        <v>100</v>
      </c>
    </row>
    <row r="36" spans="1:3" x14ac:dyDescent="0.25">
      <c r="A36" t="s">
        <v>191</v>
      </c>
      <c r="B36" t="s">
        <v>275</v>
      </c>
      <c r="C36">
        <v>100</v>
      </c>
    </row>
  </sheetData>
  <autoFilter ref="A1:C1" xr:uid="{BDD59211-D6F7-44D7-8380-C0378D241EDE}">
    <sortState xmlns:xlrd2="http://schemas.microsoft.com/office/spreadsheetml/2017/richdata2" ref="A2:C3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1864-0430-4BCF-BE6D-AD3C2AF5C676}">
  <dimension ref="A1:BV23"/>
  <sheetViews>
    <sheetView workbookViewId="0">
      <selection activeCell="BY23" sqref="BY23"/>
    </sheetView>
  </sheetViews>
  <sheetFormatPr defaultColWidth="9.140625" defaultRowHeight="15" customHeight="1" x14ac:dyDescent="0.25"/>
  <cols>
    <col min="1" max="1" width="9" bestFit="1" customWidth="1"/>
    <col min="2" max="2" width="12.140625" hidden="1" customWidth="1"/>
    <col min="3" max="5" width="8.5703125" hidden="1" customWidth="1"/>
    <col min="6" max="6" width="16.5703125" hidden="1" customWidth="1"/>
    <col min="7" max="9" width="8.7109375" hidden="1" customWidth="1"/>
    <col min="10" max="10" width="18.5703125" hidden="1" customWidth="1"/>
    <col min="11" max="13" width="8.7109375" hidden="1" customWidth="1"/>
    <col min="14" max="14" width="11.42578125" hidden="1" customWidth="1"/>
    <col min="15" max="21" width="8.7109375" hidden="1" customWidth="1"/>
    <col min="22" max="22" width="16.85546875" hidden="1" customWidth="1"/>
    <col min="23" max="25" width="8.7109375" hidden="1" customWidth="1"/>
    <col min="26" max="26" width="13.5703125" hidden="1" customWidth="1"/>
    <col min="27" max="29" width="8.7109375" hidden="1" customWidth="1"/>
    <col min="30" max="30" width="15.42578125" hidden="1" customWidth="1"/>
    <col min="31" max="33" width="8.7109375" hidden="1" customWidth="1"/>
    <col min="34" max="34" width="13.7109375" hidden="1" customWidth="1"/>
    <col min="35" max="37" width="8.7109375" hidden="1" customWidth="1"/>
    <col min="38" max="38" width="18" hidden="1" customWidth="1"/>
    <col min="39" max="41" width="8.7109375" hidden="1" customWidth="1"/>
    <col min="42" max="42" width="11.7109375" hidden="1" customWidth="1"/>
    <col min="43" max="45" width="8.7109375" hidden="1" customWidth="1"/>
    <col min="46" max="46" width="14.42578125" hidden="1" customWidth="1"/>
    <col min="47" max="49" width="8.7109375" hidden="1" customWidth="1"/>
    <col min="50" max="50" width="12.85546875" hidden="1" customWidth="1"/>
    <col min="51" max="53" width="8.7109375" hidden="1" customWidth="1"/>
    <col min="54" max="54" width="14.28515625" hidden="1" customWidth="1"/>
    <col min="55" max="57" width="8.7109375" hidden="1" customWidth="1"/>
    <col min="58" max="58" width="15" hidden="1" customWidth="1"/>
    <col min="59" max="61" width="8.7109375" hidden="1" customWidth="1"/>
    <col min="62" max="62" width="13.7109375" hidden="1" customWidth="1"/>
    <col min="63" max="65" width="8.7109375" hidden="1" customWidth="1"/>
    <col min="66" max="66" width="13.7109375" customWidth="1"/>
    <col min="67" max="69" width="8.7109375" customWidth="1"/>
    <col min="70" max="73" width="8.7109375" hidden="1" customWidth="1"/>
    <col min="74" max="74" width="12.5703125" customWidth="1"/>
  </cols>
  <sheetData>
    <row r="1" spans="1:74" ht="15" customHeight="1" x14ac:dyDescent="0.25">
      <c r="A1" s="3" t="s">
        <v>0</v>
      </c>
      <c r="B1" s="42" t="s">
        <v>1</v>
      </c>
      <c r="C1" s="43"/>
      <c r="D1" s="43"/>
      <c r="E1" s="44"/>
      <c r="F1" s="33" t="s">
        <v>2</v>
      </c>
      <c r="G1" s="34"/>
      <c r="H1" s="34"/>
      <c r="I1" s="35"/>
      <c r="J1" s="27" t="s">
        <v>3</v>
      </c>
      <c r="K1" s="28"/>
      <c r="L1" s="28"/>
      <c r="M1" s="29"/>
      <c r="N1" s="24" t="s">
        <v>4</v>
      </c>
      <c r="O1" s="25"/>
      <c r="P1" s="25"/>
      <c r="Q1" s="26"/>
      <c r="R1" s="42" t="s">
        <v>5</v>
      </c>
      <c r="S1" s="43"/>
      <c r="T1" s="43"/>
      <c r="U1" s="44"/>
      <c r="V1" s="33" t="s">
        <v>6</v>
      </c>
      <c r="W1" s="34"/>
      <c r="X1" s="34"/>
      <c r="Y1" s="35"/>
      <c r="Z1" s="27" t="s">
        <v>7</v>
      </c>
      <c r="AA1" s="28"/>
      <c r="AB1" s="28"/>
      <c r="AC1" s="29"/>
      <c r="AD1" s="24" t="s">
        <v>8</v>
      </c>
      <c r="AE1" s="25"/>
      <c r="AF1" s="25"/>
      <c r="AG1" s="26"/>
      <c r="AH1" s="42" t="s">
        <v>9</v>
      </c>
      <c r="AI1" s="43"/>
      <c r="AJ1" s="43"/>
      <c r="AK1" s="44"/>
      <c r="AL1" s="33" t="s">
        <v>10</v>
      </c>
      <c r="AM1" s="34"/>
      <c r="AN1" s="34"/>
      <c r="AO1" s="35"/>
      <c r="AP1" s="27" t="s">
        <v>11</v>
      </c>
      <c r="AQ1" s="28"/>
      <c r="AR1" s="28"/>
      <c r="AS1" s="29"/>
      <c r="AT1" s="24" t="s">
        <v>12</v>
      </c>
      <c r="AU1" s="25"/>
      <c r="AV1" s="25"/>
      <c r="AW1" s="26"/>
      <c r="AX1" s="42" t="s">
        <v>13</v>
      </c>
      <c r="AY1" s="43"/>
      <c r="AZ1" s="43"/>
      <c r="BA1" s="44"/>
      <c r="BB1" s="33" t="s">
        <v>14</v>
      </c>
      <c r="BC1" s="34"/>
      <c r="BD1" s="34"/>
      <c r="BE1" s="35"/>
      <c r="BF1" s="27" t="s">
        <v>15</v>
      </c>
      <c r="BG1" s="28"/>
      <c r="BH1" s="28"/>
      <c r="BI1" s="29"/>
      <c r="BJ1" s="24" t="s">
        <v>276</v>
      </c>
      <c r="BK1" s="25"/>
      <c r="BL1" s="25"/>
      <c r="BM1" s="26"/>
      <c r="BN1" s="42" t="s">
        <v>277</v>
      </c>
      <c r="BO1" s="43"/>
      <c r="BP1" s="43"/>
      <c r="BQ1" s="44"/>
      <c r="BR1" s="33" t="s">
        <v>278</v>
      </c>
      <c r="BS1" s="34"/>
      <c r="BT1" s="34"/>
      <c r="BU1" s="35"/>
      <c r="BV1" s="9" t="s">
        <v>17</v>
      </c>
    </row>
    <row r="2" spans="1:74" ht="15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19</v>
      </c>
      <c r="AA2" s="4" t="s">
        <v>20</v>
      </c>
      <c r="AB2" s="4" t="s">
        <v>21</v>
      </c>
      <c r="AC2" s="4" t="s">
        <v>22</v>
      </c>
      <c r="AD2" s="4" t="s">
        <v>19</v>
      </c>
      <c r="AE2" s="4" t="s">
        <v>20</v>
      </c>
      <c r="AF2" s="4" t="s">
        <v>21</v>
      </c>
      <c r="AG2" s="4" t="s">
        <v>22</v>
      </c>
      <c r="AH2" s="4" t="s">
        <v>19</v>
      </c>
      <c r="AI2" s="4" t="s">
        <v>20</v>
      </c>
      <c r="AJ2" s="4" t="s">
        <v>21</v>
      </c>
      <c r="AK2" s="4" t="s">
        <v>22</v>
      </c>
      <c r="AL2" s="4" t="s">
        <v>19</v>
      </c>
      <c r="AM2" s="4" t="s">
        <v>20</v>
      </c>
      <c r="AN2" s="4" t="s">
        <v>21</v>
      </c>
      <c r="AO2" s="4" t="s">
        <v>22</v>
      </c>
      <c r="AP2" s="4" t="s">
        <v>19</v>
      </c>
      <c r="AQ2" s="4" t="s">
        <v>20</v>
      </c>
      <c r="AR2" s="4" t="s">
        <v>21</v>
      </c>
      <c r="AS2" s="4" t="s">
        <v>22</v>
      </c>
      <c r="AT2" s="4" t="s">
        <v>19</v>
      </c>
      <c r="AU2" s="4" t="s">
        <v>20</v>
      </c>
      <c r="AV2" s="4" t="s">
        <v>21</v>
      </c>
      <c r="AW2" s="4" t="s">
        <v>22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19</v>
      </c>
      <c r="BC2" s="4" t="s">
        <v>20</v>
      </c>
      <c r="BD2" s="4" t="s">
        <v>21</v>
      </c>
      <c r="BE2" s="4" t="s">
        <v>22</v>
      </c>
      <c r="BF2" s="4" t="s">
        <v>19</v>
      </c>
      <c r="BG2" s="4" t="s">
        <v>20</v>
      </c>
      <c r="BH2" s="4" t="s">
        <v>21</v>
      </c>
      <c r="BI2" s="4" t="s">
        <v>22</v>
      </c>
      <c r="BJ2" s="4" t="s">
        <v>19</v>
      </c>
      <c r="BK2" s="4" t="s">
        <v>20</v>
      </c>
      <c r="BL2" s="4" t="s">
        <v>21</v>
      </c>
      <c r="BM2" s="4" t="s">
        <v>22</v>
      </c>
      <c r="BN2" s="4" t="s">
        <v>19</v>
      </c>
      <c r="BO2" s="4" t="s">
        <v>20</v>
      </c>
      <c r="BP2" s="4" t="s">
        <v>21</v>
      </c>
      <c r="BQ2" s="4" t="s">
        <v>22</v>
      </c>
      <c r="BR2" s="4" t="s">
        <v>19</v>
      </c>
      <c r="BS2" s="4" t="s">
        <v>20</v>
      </c>
      <c r="BT2" s="4" t="s">
        <v>21</v>
      </c>
      <c r="BU2" s="4" t="s">
        <v>22</v>
      </c>
      <c r="BV2" s="4" t="s">
        <v>21</v>
      </c>
    </row>
    <row r="3" spans="1:74" ht="15" customHeight="1" x14ac:dyDescent="0.25">
      <c r="A3" s="2" t="s">
        <v>112</v>
      </c>
      <c r="B3" t="s">
        <v>279</v>
      </c>
      <c r="C3" t="s">
        <v>204</v>
      </c>
      <c r="D3">
        <v>0</v>
      </c>
      <c r="E3">
        <v>-20.5</v>
      </c>
      <c r="F3" t="s">
        <v>280</v>
      </c>
      <c r="G3">
        <v>-6.5</v>
      </c>
      <c r="H3">
        <v>0</v>
      </c>
      <c r="I3">
        <v>-1</v>
      </c>
      <c r="J3" t="s">
        <v>281</v>
      </c>
      <c r="K3">
        <v>1.5</v>
      </c>
      <c r="L3">
        <v>0</v>
      </c>
      <c r="M3">
        <v>-15.5</v>
      </c>
      <c r="N3" t="s">
        <v>282</v>
      </c>
      <c r="O3">
        <v>-1.5</v>
      </c>
      <c r="P3">
        <v>1</v>
      </c>
      <c r="Q3">
        <v>5.5</v>
      </c>
      <c r="R3" t="s">
        <v>283</v>
      </c>
      <c r="S3">
        <v>-3.5</v>
      </c>
      <c r="T3">
        <v>1</v>
      </c>
      <c r="U3">
        <v>0.5</v>
      </c>
      <c r="V3" t="s">
        <v>284</v>
      </c>
      <c r="W3">
        <v>-1.5</v>
      </c>
      <c r="X3">
        <v>1</v>
      </c>
      <c r="Y3">
        <v>6.5</v>
      </c>
      <c r="Z3" t="s">
        <v>282</v>
      </c>
      <c r="AA3">
        <v>1.5</v>
      </c>
      <c r="AB3">
        <v>0</v>
      </c>
      <c r="AC3">
        <v>-8.5</v>
      </c>
      <c r="AD3" t="s">
        <v>285</v>
      </c>
      <c r="AE3">
        <v>-6.5</v>
      </c>
      <c r="AF3">
        <v>1</v>
      </c>
      <c r="AG3">
        <v>7.5</v>
      </c>
      <c r="AH3" t="s">
        <v>285</v>
      </c>
      <c r="AI3">
        <v>-7.5</v>
      </c>
      <c r="AJ3">
        <v>1</v>
      </c>
      <c r="AK3">
        <v>14.5</v>
      </c>
      <c r="AL3" t="s">
        <v>286</v>
      </c>
      <c r="AM3">
        <v>-7.5</v>
      </c>
      <c r="AN3">
        <v>1</v>
      </c>
      <c r="AO3">
        <v>14.5</v>
      </c>
      <c r="AP3" t="s">
        <v>287</v>
      </c>
      <c r="AQ3" t="s">
        <v>204</v>
      </c>
      <c r="AR3">
        <v>0</v>
      </c>
      <c r="AS3">
        <v>-2.5</v>
      </c>
      <c r="AT3" t="s">
        <v>288</v>
      </c>
      <c r="AU3">
        <v>-7.5</v>
      </c>
      <c r="AV3">
        <v>0</v>
      </c>
      <c r="AW3">
        <v>-1.5</v>
      </c>
      <c r="AX3" t="s">
        <v>286</v>
      </c>
      <c r="AY3">
        <v>-3</v>
      </c>
      <c r="AZ3">
        <v>0</v>
      </c>
      <c r="BA3">
        <v>-10</v>
      </c>
      <c r="BB3" t="s">
        <v>289</v>
      </c>
      <c r="BC3" t="s">
        <v>139</v>
      </c>
      <c r="BD3">
        <v>1</v>
      </c>
      <c r="BE3">
        <v>18.5</v>
      </c>
      <c r="BF3" t="s">
        <v>281</v>
      </c>
      <c r="BG3">
        <v>-5.5</v>
      </c>
      <c r="BH3">
        <v>0</v>
      </c>
      <c r="BI3">
        <v>-13.5</v>
      </c>
      <c r="BJ3" t="s">
        <v>286</v>
      </c>
      <c r="BK3">
        <v>-7.5</v>
      </c>
      <c r="BL3">
        <v>0</v>
      </c>
      <c r="BM3">
        <v>-12.5</v>
      </c>
      <c r="BN3" s="2" t="s">
        <v>290</v>
      </c>
      <c r="BO3" s="2">
        <v>-3</v>
      </c>
      <c r="BP3">
        <v>2</v>
      </c>
      <c r="BQ3">
        <v>1</v>
      </c>
      <c r="BV3" s="20">
        <f t="shared" ref="BV3:BV17" si="0">SUM(D3,H3,L3,P3,T3,X3,AB3,AF3,AJ3,AN3,AR3,AV3,AZ3,BD3,BH3,BL3,BP3,BT3)</f>
        <v>9</v>
      </c>
    </row>
    <row r="4" spans="1:74" ht="15" customHeight="1" x14ac:dyDescent="0.25">
      <c r="A4" s="2" t="s">
        <v>191</v>
      </c>
      <c r="B4" t="s">
        <v>281</v>
      </c>
      <c r="C4">
        <v>7.5</v>
      </c>
      <c r="D4">
        <v>1</v>
      </c>
      <c r="E4">
        <v>3.5</v>
      </c>
      <c r="F4" t="s">
        <v>281</v>
      </c>
      <c r="G4">
        <v>-5.5</v>
      </c>
      <c r="H4">
        <v>0</v>
      </c>
      <c r="I4">
        <v>-2.5</v>
      </c>
      <c r="J4" t="s">
        <v>291</v>
      </c>
      <c r="K4">
        <v>-6.5</v>
      </c>
      <c r="L4">
        <v>0</v>
      </c>
      <c r="M4">
        <v>-4.5</v>
      </c>
      <c r="N4" t="s">
        <v>284</v>
      </c>
      <c r="O4">
        <v>-1.5</v>
      </c>
      <c r="P4">
        <v>1</v>
      </c>
      <c r="Q4">
        <v>1.5</v>
      </c>
      <c r="R4" t="s">
        <v>292</v>
      </c>
      <c r="S4">
        <v>3.5</v>
      </c>
      <c r="T4">
        <v>1</v>
      </c>
      <c r="U4">
        <v>6.5</v>
      </c>
      <c r="V4" t="s">
        <v>293</v>
      </c>
      <c r="W4">
        <v>-6.5</v>
      </c>
      <c r="X4">
        <v>0</v>
      </c>
      <c r="Y4">
        <v>-2.5</v>
      </c>
      <c r="Z4" t="s">
        <v>294</v>
      </c>
      <c r="AA4" t="s">
        <v>169</v>
      </c>
      <c r="AB4">
        <v>1</v>
      </c>
      <c r="AC4">
        <v>11.5</v>
      </c>
      <c r="AD4" t="s">
        <v>295</v>
      </c>
      <c r="AE4" t="s">
        <v>226</v>
      </c>
      <c r="AF4">
        <v>1</v>
      </c>
      <c r="AG4">
        <v>17.5</v>
      </c>
      <c r="AH4" t="s">
        <v>281</v>
      </c>
      <c r="AI4">
        <v>-2.5</v>
      </c>
      <c r="AJ4">
        <v>0</v>
      </c>
      <c r="AK4">
        <v>-12.5</v>
      </c>
      <c r="AL4" t="s">
        <v>296</v>
      </c>
      <c r="AM4">
        <v>-5.5</v>
      </c>
      <c r="AN4">
        <v>0</v>
      </c>
      <c r="AO4">
        <v>-15.5</v>
      </c>
      <c r="AP4" t="s">
        <v>286</v>
      </c>
      <c r="AQ4">
        <v>2.5</v>
      </c>
      <c r="AR4">
        <v>0</v>
      </c>
      <c r="AS4">
        <v>-4.5</v>
      </c>
      <c r="AT4" s="2" t="s">
        <v>281</v>
      </c>
      <c r="AU4" s="2">
        <v>3.5</v>
      </c>
      <c r="AV4">
        <v>2</v>
      </c>
      <c r="AW4">
        <v>6.5</v>
      </c>
      <c r="AX4" t="s">
        <v>281</v>
      </c>
      <c r="AY4">
        <v>3.5</v>
      </c>
      <c r="AZ4">
        <v>1</v>
      </c>
      <c r="BA4">
        <v>6.5</v>
      </c>
      <c r="BB4" t="s">
        <v>281</v>
      </c>
      <c r="BC4">
        <v>3.5</v>
      </c>
      <c r="BD4">
        <v>0</v>
      </c>
      <c r="BE4">
        <v>-10.5</v>
      </c>
      <c r="BF4" t="s">
        <v>297</v>
      </c>
      <c r="BG4">
        <v>-5.5</v>
      </c>
      <c r="BH4">
        <v>0</v>
      </c>
      <c r="BI4">
        <v>-8.5</v>
      </c>
      <c r="BJ4" t="s">
        <v>298</v>
      </c>
      <c r="BK4" t="s">
        <v>98</v>
      </c>
      <c r="BL4">
        <v>1</v>
      </c>
      <c r="BM4">
        <v>7.5</v>
      </c>
      <c r="BN4" t="s">
        <v>299</v>
      </c>
      <c r="BO4">
        <v>-1.5</v>
      </c>
      <c r="BP4">
        <v>0</v>
      </c>
      <c r="BQ4">
        <v>-2.5</v>
      </c>
      <c r="BV4" s="21">
        <f t="shared" si="0"/>
        <v>9</v>
      </c>
    </row>
    <row r="5" spans="1:74" ht="15" customHeight="1" x14ac:dyDescent="0.25">
      <c r="A5" t="s">
        <v>201</v>
      </c>
      <c r="B5" t="s">
        <v>280</v>
      </c>
      <c r="C5">
        <v>-6.5</v>
      </c>
      <c r="D5">
        <v>1</v>
      </c>
      <c r="E5">
        <v>0.5</v>
      </c>
      <c r="F5" t="s">
        <v>300</v>
      </c>
      <c r="G5" t="s">
        <v>120</v>
      </c>
      <c r="H5">
        <v>0</v>
      </c>
      <c r="I5">
        <v>-7.5</v>
      </c>
      <c r="J5" t="s">
        <v>293</v>
      </c>
      <c r="K5">
        <v>-3.5</v>
      </c>
      <c r="L5">
        <v>1</v>
      </c>
      <c r="M5">
        <v>17.5</v>
      </c>
      <c r="N5" t="s">
        <v>301</v>
      </c>
      <c r="O5">
        <v>1.5</v>
      </c>
      <c r="P5">
        <v>1</v>
      </c>
      <c r="Q5">
        <v>2.5</v>
      </c>
      <c r="R5" t="s">
        <v>281</v>
      </c>
      <c r="S5">
        <v>-1.5</v>
      </c>
      <c r="T5">
        <v>1</v>
      </c>
      <c r="U5">
        <v>13.5</v>
      </c>
      <c r="V5" t="s">
        <v>299</v>
      </c>
      <c r="W5">
        <v>-4.5</v>
      </c>
      <c r="X5">
        <v>0</v>
      </c>
      <c r="Y5">
        <v>-14.5</v>
      </c>
      <c r="Z5" t="s">
        <v>288</v>
      </c>
      <c r="AA5">
        <v>-6.5</v>
      </c>
      <c r="AB5">
        <v>1</v>
      </c>
      <c r="AC5">
        <v>11.5</v>
      </c>
      <c r="AD5" t="s">
        <v>302</v>
      </c>
      <c r="AE5" t="s">
        <v>123</v>
      </c>
      <c r="AF5">
        <v>1</v>
      </c>
      <c r="AG5">
        <v>13.5</v>
      </c>
      <c r="AH5" t="s">
        <v>303</v>
      </c>
      <c r="AI5">
        <v>2.5</v>
      </c>
      <c r="AJ5">
        <v>1</v>
      </c>
      <c r="AK5">
        <v>5.5</v>
      </c>
      <c r="AL5" t="s">
        <v>303</v>
      </c>
      <c r="AM5">
        <v>-9.5</v>
      </c>
      <c r="AN5">
        <v>0</v>
      </c>
      <c r="AO5">
        <v>-6.5</v>
      </c>
      <c r="AP5" t="s">
        <v>304</v>
      </c>
      <c r="AQ5">
        <v>-3</v>
      </c>
      <c r="AR5">
        <v>0</v>
      </c>
      <c r="AS5">
        <v>-32</v>
      </c>
      <c r="AT5" t="s">
        <v>305</v>
      </c>
      <c r="AU5">
        <v>-2.5</v>
      </c>
      <c r="AV5">
        <v>1</v>
      </c>
      <c r="AW5">
        <v>0.5</v>
      </c>
      <c r="AX5" t="s">
        <v>303</v>
      </c>
      <c r="AY5">
        <v>-6.5</v>
      </c>
      <c r="AZ5">
        <v>0</v>
      </c>
      <c r="BA5">
        <v>-5.5</v>
      </c>
      <c r="BB5" t="s">
        <v>306</v>
      </c>
      <c r="BC5">
        <v>-2.5</v>
      </c>
      <c r="BD5">
        <v>0</v>
      </c>
      <c r="BE5">
        <v>-5.5</v>
      </c>
      <c r="BF5" t="s">
        <v>307</v>
      </c>
      <c r="BG5">
        <v>-5.5</v>
      </c>
      <c r="BH5">
        <v>0</v>
      </c>
      <c r="BI5">
        <v>-6.5</v>
      </c>
      <c r="BJ5" t="s">
        <v>282</v>
      </c>
      <c r="BK5">
        <v>-3</v>
      </c>
      <c r="BL5">
        <v>1</v>
      </c>
      <c r="BM5">
        <v>4</v>
      </c>
      <c r="BN5" t="s">
        <v>303</v>
      </c>
      <c r="BO5">
        <v>-13.5</v>
      </c>
      <c r="BP5">
        <v>0</v>
      </c>
      <c r="BQ5">
        <v>-6.5</v>
      </c>
      <c r="BV5" s="21">
        <f t="shared" si="0"/>
        <v>9</v>
      </c>
    </row>
    <row r="6" spans="1:74" ht="15" customHeight="1" x14ac:dyDescent="0.25">
      <c r="A6" t="s">
        <v>82</v>
      </c>
      <c r="B6" t="s">
        <v>308</v>
      </c>
      <c r="C6">
        <v>-6.5</v>
      </c>
      <c r="D6">
        <v>1</v>
      </c>
      <c r="E6">
        <v>8.5</v>
      </c>
      <c r="F6" t="s">
        <v>309</v>
      </c>
      <c r="G6">
        <v>-3.5</v>
      </c>
      <c r="H6">
        <v>1</v>
      </c>
      <c r="I6">
        <v>0.5</v>
      </c>
      <c r="J6" t="s">
        <v>304</v>
      </c>
      <c r="K6">
        <v>-2.5</v>
      </c>
      <c r="L6">
        <v>1</v>
      </c>
      <c r="M6">
        <v>0.5</v>
      </c>
      <c r="N6" t="s">
        <v>310</v>
      </c>
      <c r="O6">
        <v>-3.5</v>
      </c>
      <c r="P6">
        <v>1</v>
      </c>
      <c r="Q6">
        <v>3.5</v>
      </c>
      <c r="R6" t="s">
        <v>304</v>
      </c>
      <c r="S6">
        <v>-2.5</v>
      </c>
      <c r="T6">
        <v>0</v>
      </c>
      <c r="U6">
        <v>-19.5</v>
      </c>
      <c r="V6" t="s">
        <v>307</v>
      </c>
      <c r="W6">
        <v>-3.5</v>
      </c>
      <c r="X6">
        <v>1</v>
      </c>
      <c r="Y6">
        <v>7.5</v>
      </c>
      <c r="Z6" t="s">
        <v>311</v>
      </c>
      <c r="AA6" t="s">
        <v>118</v>
      </c>
      <c r="AB6">
        <v>1</v>
      </c>
      <c r="AC6">
        <v>12.5</v>
      </c>
      <c r="AD6" t="s">
        <v>312</v>
      </c>
      <c r="AE6" t="s">
        <v>210</v>
      </c>
      <c r="AF6">
        <v>1</v>
      </c>
      <c r="AG6">
        <v>14.5</v>
      </c>
      <c r="AH6" t="s">
        <v>313</v>
      </c>
      <c r="AI6" t="s">
        <v>116</v>
      </c>
      <c r="AJ6">
        <v>0</v>
      </c>
      <c r="AK6">
        <v>-4.5</v>
      </c>
      <c r="AL6" t="s">
        <v>314</v>
      </c>
      <c r="AM6" t="s">
        <v>123</v>
      </c>
      <c r="AN6">
        <v>0</v>
      </c>
      <c r="AO6">
        <v>-9.5</v>
      </c>
      <c r="AP6" t="s">
        <v>282</v>
      </c>
      <c r="AQ6">
        <v>-3.5</v>
      </c>
      <c r="AR6">
        <v>0</v>
      </c>
      <c r="AS6">
        <v>-6.5</v>
      </c>
      <c r="AT6" t="s">
        <v>305</v>
      </c>
      <c r="AU6">
        <v>-2.5</v>
      </c>
      <c r="AV6">
        <v>1</v>
      </c>
      <c r="AW6">
        <v>0.5</v>
      </c>
      <c r="AX6" t="s">
        <v>307</v>
      </c>
      <c r="AY6">
        <v>-4</v>
      </c>
      <c r="AZ6">
        <v>0</v>
      </c>
      <c r="BA6">
        <v>-1</v>
      </c>
      <c r="BB6" t="s">
        <v>299</v>
      </c>
      <c r="BC6">
        <v>-5.5</v>
      </c>
      <c r="BD6">
        <v>0</v>
      </c>
      <c r="BE6">
        <v>-0.5</v>
      </c>
      <c r="BF6" t="s">
        <v>281</v>
      </c>
      <c r="BG6">
        <v>-5.5</v>
      </c>
      <c r="BH6">
        <v>0</v>
      </c>
      <c r="BI6">
        <v>-13.5</v>
      </c>
      <c r="BJ6" t="s">
        <v>315</v>
      </c>
      <c r="BK6" t="s">
        <v>316</v>
      </c>
      <c r="BL6">
        <v>1</v>
      </c>
      <c r="BM6">
        <v>4.5</v>
      </c>
      <c r="BN6" t="s">
        <v>304</v>
      </c>
      <c r="BO6">
        <v>-1.5</v>
      </c>
      <c r="BP6">
        <v>0</v>
      </c>
      <c r="BQ6">
        <v>-5.5</v>
      </c>
      <c r="BV6" s="21">
        <f t="shared" si="0"/>
        <v>9</v>
      </c>
    </row>
    <row r="7" spans="1:74" ht="15" customHeight="1" x14ac:dyDescent="0.25">
      <c r="A7" t="s">
        <v>130</v>
      </c>
      <c r="B7" t="s">
        <v>290</v>
      </c>
      <c r="C7">
        <v>-2.5</v>
      </c>
      <c r="D7">
        <v>1</v>
      </c>
      <c r="E7">
        <v>1.5</v>
      </c>
      <c r="F7" t="s">
        <v>288</v>
      </c>
      <c r="G7">
        <v>1.5</v>
      </c>
      <c r="H7">
        <v>1</v>
      </c>
      <c r="I7">
        <v>7.5</v>
      </c>
      <c r="J7" t="s">
        <v>281</v>
      </c>
      <c r="K7">
        <v>-1.5</v>
      </c>
      <c r="L7">
        <v>0</v>
      </c>
      <c r="M7">
        <v>-18.5</v>
      </c>
      <c r="N7" t="s">
        <v>288</v>
      </c>
      <c r="O7">
        <v>-5.5</v>
      </c>
      <c r="P7">
        <v>1</v>
      </c>
      <c r="Q7">
        <v>23.5</v>
      </c>
      <c r="R7" t="s">
        <v>317</v>
      </c>
      <c r="S7">
        <v>2.5</v>
      </c>
      <c r="T7">
        <v>0</v>
      </c>
      <c r="U7">
        <v>-9.5</v>
      </c>
      <c r="V7" t="s">
        <v>304</v>
      </c>
      <c r="W7">
        <v>-3.5</v>
      </c>
      <c r="X7">
        <v>0</v>
      </c>
      <c r="Y7">
        <v>-1.5</v>
      </c>
      <c r="Z7" t="s">
        <v>288</v>
      </c>
      <c r="AA7">
        <v>-6.5</v>
      </c>
      <c r="AB7">
        <v>1</v>
      </c>
      <c r="AC7">
        <v>11.5</v>
      </c>
      <c r="AD7" t="s">
        <v>290</v>
      </c>
      <c r="AE7">
        <v>2.5</v>
      </c>
      <c r="AF7">
        <v>0</v>
      </c>
      <c r="AG7">
        <v>-8.5</v>
      </c>
      <c r="AH7" t="s">
        <v>313</v>
      </c>
      <c r="AI7" t="s">
        <v>318</v>
      </c>
      <c r="AJ7">
        <v>0</v>
      </c>
      <c r="AK7">
        <v>-5.5</v>
      </c>
      <c r="AL7" t="s">
        <v>314</v>
      </c>
      <c r="AM7" t="s">
        <v>123</v>
      </c>
      <c r="AN7">
        <v>0</v>
      </c>
      <c r="AO7">
        <v>-9.5</v>
      </c>
      <c r="AP7" t="s">
        <v>290</v>
      </c>
      <c r="AQ7">
        <v>-3.5</v>
      </c>
      <c r="AR7">
        <v>1</v>
      </c>
      <c r="AS7">
        <v>15.5</v>
      </c>
      <c r="AT7" t="s">
        <v>293</v>
      </c>
      <c r="AU7">
        <v>4.5</v>
      </c>
      <c r="AV7">
        <v>1</v>
      </c>
      <c r="AW7">
        <v>1.5</v>
      </c>
      <c r="AX7" t="s">
        <v>293</v>
      </c>
      <c r="AY7">
        <v>-3</v>
      </c>
      <c r="AZ7">
        <v>0</v>
      </c>
      <c r="BA7">
        <v>-7</v>
      </c>
      <c r="BB7" t="s">
        <v>308</v>
      </c>
      <c r="BC7">
        <v>1.5</v>
      </c>
      <c r="BD7">
        <v>0</v>
      </c>
      <c r="BE7">
        <v>-29.5</v>
      </c>
      <c r="BF7" t="s">
        <v>319</v>
      </c>
      <c r="BG7" t="s">
        <v>320</v>
      </c>
      <c r="BH7">
        <v>1</v>
      </c>
      <c r="BI7">
        <v>17.5</v>
      </c>
      <c r="BJ7" t="s">
        <v>321</v>
      </c>
      <c r="BK7" t="s">
        <v>164</v>
      </c>
      <c r="BL7">
        <v>0</v>
      </c>
      <c r="BM7">
        <v>-3.5</v>
      </c>
      <c r="BN7" t="s">
        <v>301</v>
      </c>
      <c r="BO7">
        <v>3.5</v>
      </c>
      <c r="BP7">
        <v>0</v>
      </c>
      <c r="BQ7">
        <v>-0.5</v>
      </c>
      <c r="BV7" s="21">
        <f t="shared" si="0"/>
        <v>7</v>
      </c>
    </row>
    <row r="8" spans="1:74" ht="15" customHeight="1" x14ac:dyDescent="0.25">
      <c r="A8" s="2" t="s">
        <v>99</v>
      </c>
      <c r="B8" t="s">
        <v>282</v>
      </c>
      <c r="C8">
        <v>2.5</v>
      </c>
      <c r="D8">
        <v>0</v>
      </c>
      <c r="E8">
        <v>-0.5</v>
      </c>
      <c r="F8" t="s">
        <v>293</v>
      </c>
      <c r="G8">
        <v>1.5</v>
      </c>
      <c r="H8">
        <v>1</v>
      </c>
      <c r="I8">
        <v>2.5</v>
      </c>
      <c r="J8" t="s">
        <v>322</v>
      </c>
      <c r="K8" t="s">
        <v>118</v>
      </c>
      <c r="L8">
        <v>0</v>
      </c>
      <c r="M8">
        <v>-4.5</v>
      </c>
      <c r="N8" t="s">
        <v>307</v>
      </c>
      <c r="O8">
        <v>3.5</v>
      </c>
      <c r="P8">
        <v>0</v>
      </c>
      <c r="Q8">
        <v>-2.5</v>
      </c>
      <c r="R8" s="2" t="s">
        <v>304</v>
      </c>
      <c r="S8" s="2">
        <v>-2.5</v>
      </c>
      <c r="T8">
        <v>-1</v>
      </c>
      <c r="U8">
        <v>-19.5</v>
      </c>
      <c r="V8" t="s">
        <v>281</v>
      </c>
      <c r="W8">
        <v>-2.5</v>
      </c>
      <c r="X8">
        <v>0</v>
      </c>
      <c r="Y8">
        <v>-5.5</v>
      </c>
      <c r="Z8" t="s">
        <v>281</v>
      </c>
      <c r="AA8">
        <v>1.5</v>
      </c>
      <c r="AB8">
        <v>1</v>
      </c>
      <c r="AC8">
        <v>23.5</v>
      </c>
      <c r="AD8" t="s">
        <v>296</v>
      </c>
      <c r="AE8">
        <v>7.5</v>
      </c>
      <c r="AF8">
        <v>0</v>
      </c>
      <c r="AG8">
        <v>-23.5</v>
      </c>
      <c r="AH8" t="s">
        <v>281</v>
      </c>
      <c r="AI8">
        <v>-2.5</v>
      </c>
      <c r="AJ8">
        <v>0</v>
      </c>
      <c r="AK8">
        <v>-12.5</v>
      </c>
      <c r="AL8" t="s">
        <v>284</v>
      </c>
      <c r="AM8">
        <v>-6.5</v>
      </c>
      <c r="AN8">
        <v>1</v>
      </c>
      <c r="AO8">
        <v>15.5</v>
      </c>
      <c r="AP8" t="s">
        <v>284</v>
      </c>
      <c r="AQ8">
        <v>3.5</v>
      </c>
      <c r="AR8">
        <v>1</v>
      </c>
      <c r="AS8">
        <v>1.5</v>
      </c>
      <c r="AT8" t="s">
        <v>281</v>
      </c>
      <c r="AU8">
        <v>3.5</v>
      </c>
      <c r="AV8">
        <v>1</v>
      </c>
      <c r="AW8">
        <v>6.5</v>
      </c>
      <c r="AX8" t="s">
        <v>281</v>
      </c>
      <c r="AY8">
        <v>3.5</v>
      </c>
      <c r="AZ8">
        <v>1</v>
      </c>
      <c r="BA8">
        <v>6.5</v>
      </c>
      <c r="BB8" t="s">
        <v>323</v>
      </c>
      <c r="BC8">
        <v>-6.5</v>
      </c>
      <c r="BD8">
        <v>1</v>
      </c>
      <c r="BE8">
        <v>0.5</v>
      </c>
      <c r="BF8" t="s">
        <v>310</v>
      </c>
      <c r="BG8">
        <v>-5.5</v>
      </c>
      <c r="BH8">
        <v>1</v>
      </c>
      <c r="BI8">
        <v>1.5</v>
      </c>
      <c r="BJ8" t="s">
        <v>284</v>
      </c>
      <c r="BK8">
        <v>-1.5</v>
      </c>
      <c r="BL8">
        <v>0</v>
      </c>
      <c r="BM8">
        <v>-0.5</v>
      </c>
      <c r="BN8" t="s">
        <v>301</v>
      </c>
      <c r="BO8">
        <v>3.5</v>
      </c>
      <c r="BP8">
        <v>0</v>
      </c>
      <c r="BQ8">
        <v>-0.5</v>
      </c>
      <c r="BV8" s="21">
        <f t="shared" si="0"/>
        <v>7</v>
      </c>
    </row>
    <row r="9" spans="1:74" ht="15" customHeight="1" x14ac:dyDescent="0.25">
      <c r="A9" t="s">
        <v>212</v>
      </c>
      <c r="B9" t="s">
        <v>304</v>
      </c>
      <c r="C9">
        <v>3.5</v>
      </c>
      <c r="D9">
        <v>1</v>
      </c>
      <c r="E9">
        <v>9.5</v>
      </c>
      <c r="F9" t="s">
        <v>324</v>
      </c>
      <c r="G9">
        <v>-2.5</v>
      </c>
      <c r="H9">
        <v>0</v>
      </c>
      <c r="I9">
        <v>-3.5</v>
      </c>
      <c r="J9" t="s">
        <v>325</v>
      </c>
      <c r="K9" t="s">
        <v>123</v>
      </c>
      <c r="L9">
        <v>1</v>
      </c>
      <c r="M9">
        <v>20.5</v>
      </c>
      <c r="N9" t="s">
        <v>285</v>
      </c>
      <c r="O9">
        <v>-2.5</v>
      </c>
      <c r="P9">
        <v>0</v>
      </c>
      <c r="Q9">
        <v>-19.5</v>
      </c>
      <c r="R9" t="s">
        <v>307</v>
      </c>
      <c r="S9">
        <v>3.5</v>
      </c>
      <c r="T9">
        <v>1</v>
      </c>
      <c r="U9">
        <v>6.5</v>
      </c>
      <c r="V9" t="s">
        <v>326</v>
      </c>
      <c r="W9" t="s">
        <v>166</v>
      </c>
      <c r="X9">
        <v>1</v>
      </c>
      <c r="Y9">
        <v>15.5</v>
      </c>
      <c r="Z9" t="s">
        <v>304</v>
      </c>
      <c r="AA9">
        <v>-1.5</v>
      </c>
      <c r="AB9">
        <v>0</v>
      </c>
      <c r="AC9">
        <v>-15.5</v>
      </c>
      <c r="AD9" t="s">
        <v>327</v>
      </c>
      <c r="AE9">
        <v>10.5</v>
      </c>
      <c r="AF9">
        <v>0</v>
      </c>
      <c r="AG9">
        <v>-10.5</v>
      </c>
      <c r="AH9" t="s">
        <v>299</v>
      </c>
      <c r="AI9">
        <v>1.5</v>
      </c>
      <c r="AJ9">
        <v>1</v>
      </c>
      <c r="AK9">
        <v>8.5</v>
      </c>
      <c r="AL9" t="s">
        <v>328</v>
      </c>
      <c r="AM9" t="s">
        <v>329</v>
      </c>
      <c r="AN9">
        <v>0</v>
      </c>
      <c r="AO9">
        <v>-18.5</v>
      </c>
      <c r="AP9" t="s">
        <v>282</v>
      </c>
      <c r="AQ9">
        <v>-3.5</v>
      </c>
      <c r="AR9">
        <v>0</v>
      </c>
      <c r="AS9">
        <v>-6.5</v>
      </c>
      <c r="AT9" t="s">
        <v>330</v>
      </c>
      <c r="AU9">
        <v>2.5</v>
      </c>
      <c r="AV9">
        <v>0</v>
      </c>
      <c r="AW9">
        <v>-0.5</v>
      </c>
      <c r="AX9" t="s">
        <v>307</v>
      </c>
      <c r="AY9">
        <v>-3.5</v>
      </c>
      <c r="AZ9">
        <v>0</v>
      </c>
      <c r="BA9">
        <v>-0.5</v>
      </c>
      <c r="BB9" t="s">
        <v>323</v>
      </c>
      <c r="BC9">
        <v>-6.5</v>
      </c>
      <c r="BD9">
        <v>1</v>
      </c>
      <c r="BE9">
        <v>0.5</v>
      </c>
      <c r="BF9" t="s">
        <v>306</v>
      </c>
      <c r="BG9">
        <v>-11.5</v>
      </c>
      <c r="BH9">
        <v>1</v>
      </c>
      <c r="BI9">
        <v>19.5</v>
      </c>
      <c r="BJ9" t="s">
        <v>331</v>
      </c>
      <c r="BK9" t="s">
        <v>332</v>
      </c>
      <c r="BL9">
        <v>0</v>
      </c>
      <c r="BM9">
        <v>-0.5</v>
      </c>
      <c r="BN9" t="s">
        <v>333</v>
      </c>
      <c r="BO9" t="s">
        <v>123</v>
      </c>
      <c r="BP9">
        <v>0</v>
      </c>
      <c r="BQ9">
        <v>-7.5</v>
      </c>
      <c r="BV9" s="21">
        <f t="shared" si="0"/>
        <v>7</v>
      </c>
    </row>
    <row r="10" spans="1:74" ht="15" customHeight="1" x14ac:dyDescent="0.25">
      <c r="A10" s="2" t="s">
        <v>65</v>
      </c>
      <c r="B10" t="s">
        <v>281</v>
      </c>
      <c r="C10">
        <v>8.5</v>
      </c>
      <c r="D10">
        <v>1</v>
      </c>
      <c r="E10">
        <v>4.5</v>
      </c>
      <c r="F10" t="s">
        <v>285</v>
      </c>
      <c r="G10">
        <v>-11.5</v>
      </c>
      <c r="H10">
        <v>1</v>
      </c>
      <c r="I10">
        <v>12.5</v>
      </c>
      <c r="J10" t="s">
        <v>297</v>
      </c>
      <c r="K10">
        <v>-5.5</v>
      </c>
      <c r="L10">
        <v>1</v>
      </c>
      <c r="M10">
        <v>7.5</v>
      </c>
      <c r="N10" t="s">
        <v>296</v>
      </c>
      <c r="O10">
        <v>5.5</v>
      </c>
      <c r="P10">
        <v>0</v>
      </c>
      <c r="Q10">
        <v>-23.5</v>
      </c>
      <c r="R10" t="s">
        <v>285</v>
      </c>
      <c r="S10">
        <v>1.5</v>
      </c>
      <c r="T10">
        <v>0</v>
      </c>
      <c r="U10">
        <v>-32.5</v>
      </c>
      <c r="V10" s="2" t="s">
        <v>304</v>
      </c>
      <c r="W10" s="2">
        <v>-3.5</v>
      </c>
      <c r="X10">
        <v>-1</v>
      </c>
      <c r="Y10">
        <v>-1.5</v>
      </c>
      <c r="Z10" t="s">
        <v>286</v>
      </c>
      <c r="AA10">
        <v>-5.5</v>
      </c>
      <c r="AB10">
        <v>1</v>
      </c>
      <c r="AC10">
        <v>9.5</v>
      </c>
      <c r="AD10" t="s">
        <v>290</v>
      </c>
      <c r="AE10">
        <v>2.5</v>
      </c>
      <c r="AF10">
        <v>0</v>
      </c>
      <c r="AG10">
        <v>-8.5</v>
      </c>
      <c r="AH10" t="s">
        <v>285</v>
      </c>
      <c r="AI10">
        <v>-7.5</v>
      </c>
      <c r="AJ10">
        <v>1</v>
      </c>
      <c r="AK10">
        <v>14.5</v>
      </c>
      <c r="AL10" t="s">
        <v>334</v>
      </c>
      <c r="AM10" t="s">
        <v>164</v>
      </c>
      <c r="AN10">
        <v>1</v>
      </c>
      <c r="AO10">
        <v>17.5</v>
      </c>
      <c r="AP10" t="s">
        <v>335</v>
      </c>
      <c r="AQ10" t="s">
        <v>98</v>
      </c>
      <c r="AR10">
        <v>0</v>
      </c>
      <c r="AS10">
        <v>-21.5</v>
      </c>
      <c r="AT10" t="s">
        <v>336</v>
      </c>
      <c r="AU10">
        <v>-4</v>
      </c>
      <c r="AV10">
        <v>0</v>
      </c>
      <c r="AW10">
        <v>-18</v>
      </c>
      <c r="AX10" t="s">
        <v>337</v>
      </c>
      <c r="AY10" t="s">
        <v>123</v>
      </c>
      <c r="AZ10">
        <v>0</v>
      </c>
      <c r="BA10">
        <v>-5.5</v>
      </c>
      <c r="BB10" t="s">
        <v>338</v>
      </c>
      <c r="BC10">
        <v>-2.5</v>
      </c>
      <c r="BD10">
        <v>1</v>
      </c>
      <c r="BE10">
        <v>21.5</v>
      </c>
      <c r="BF10" t="s">
        <v>299</v>
      </c>
      <c r="BG10">
        <v>-1.5</v>
      </c>
      <c r="BH10">
        <v>1</v>
      </c>
      <c r="BI10">
        <v>2.5</v>
      </c>
      <c r="BJ10" t="s">
        <v>280</v>
      </c>
      <c r="BK10">
        <v>3</v>
      </c>
      <c r="BL10">
        <v>0</v>
      </c>
      <c r="BM10">
        <v>-4</v>
      </c>
      <c r="BN10" t="s">
        <v>296</v>
      </c>
      <c r="BO10">
        <v>6.5</v>
      </c>
      <c r="BP10">
        <v>0</v>
      </c>
      <c r="BQ10">
        <v>-10.5</v>
      </c>
      <c r="BV10" s="21">
        <f t="shared" si="0"/>
        <v>7</v>
      </c>
    </row>
    <row r="11" spans="1:74" ht="15" customHeight="1" x14ac:dyDescent="0.25">
      <c r="A11" s="2" t="s">
        <v>102</v>
      </c>
      <c r="B11" t="s">
        <v>304</v>
      </c>
      <c r="C11">
        <v>3.5</v>
      </c>
      <c r="D11">
        <v>1</v>
      </c>
      <c r="E11">
        <v>9.5</v>
      </c>
      <c r="F11" t="s">
        <v>282</v>
      </c>
      <c r="G11">
        <v>3.5</v>
      </c>
      <c r="H11">
        <v>1</v>
      </c>
      <c r="I11">
        <v>19.5</v>
      </c>
      <c r="J11" t="s">
        <v>310</v>
      </c>
      <c r="K11">
        <v>3.5</v>
      </c>
      <c r="L11">
        <v>0</v>
      </c>
      <c r="M11">
        <v>-2.5</v>
      </c>
      <c r="N11" t="s">
        <v>282</v>
      </c>
      <c r="O11">
        <v>1.5</v>
      </c>
      <c r="P11">
        <v>1</v>
      </c>
      <c r="Q11">
        <v>8.5</v>
      </c>
      <c r="R11" t="s">
        <v>310</v>
      </c>
      <c r="S11">
        <v>-6.5</v>
      </c>
      <c r="T11">
        <v>0</v>
      </c>
      <c r="U11">
        <v>-9.5</v>
      </c>
      <c r="V11" t="s">
        <v>339</v>
      </c>
      <c r="W11" t="s">
        <v>118</v>
      </c>
      <c r="X11">
        <v>1</v>
      </c>
      <c r="Y11">
        <v>7.5</v>
      </c>
      <c r="Z11" t="s">
        <v>286</v>
      </c>
      <c r="AA11">
        <v>-5.5</v>
      </c>
      <c r="AB11">
        <v>1</v>
      </c>
      <c r="AC11">
        <v>9.5</v>
      </c>
      <c r="AD11" t="s">
        <v>340</v>
      </c>
      <c r="AE11">
        <v>7.5</v>
      </c>
      <c r="AF11">
        <v>0</v>
      </c>
      <c r="AG11">
        <v>-11.5</v>
      </c>
      <c r="AH11" t="s">
        <v>324</v>
      </c>
      <c r="AI11">
        <v>-2.5</v>
      </c>
      <c r="AJ11">
        <v>0</v>
      </c>
      <c r="AK11">
        <v>-5.5</v>
      </c>
      <c r="AL11" t="s">
        <v>308</v>
      </c>
      <c r="AM11">
        <v>8.5</v>
      </c>
      <c r="AN11">
        <v>0</v>
      </c>
      <c r="AO11">
        <v>-13.5</v>
      </c>
      <c r="AP11" t="s">
        <v>283</v>
      </c>
      <c r="AQ11">
        <v>-2.5</v>
      </c>
      <c r="AR11">
        <v>0</v>
      </c>
      <c r="AS11">
        <v>-4.5</v>
      </c>
      <c r="AT11" s="2" t="s">
        <v>286</v>
      </c>
      <c r="AU11" s="2">
        <v>-10</v>
      </c>
      <c r="AV11">
        <v>-1</v>
      </c>
      <c r="AW11">
        <v>-3</v>
      </c>
      <c r="AX11" t="s">
        <v>296</v>
      </c>
      <c r="AY11">
        <v>10.5</v>
      </c>
      <c r="AZ11">
        <v>1</v>
      </c>
      <c r="BA11">
        <v>13.5</v>
      </c>
      <c r="BB11" t="s">
        <v>306</v>
      </c>
      <c r="BC11">
        <v>-3</v>
      </c>
      <c r="BD11">
        <v>0</v>
      </c>
      <c r="BE11">
        <v>-6</v>
      </c>
      <c r="BF11" t="s">
        <v>285</v>
      </c>
      <c r="BG11">
        <v>-2.5</v>
      </c>
      <c r="BH11">
        <v>1</v>
      </c>
      <c r="BI11">
        <v>21.5</v>
      </c>
      <c r="BN11" t="s">
        <v>296</v>
      </c>
      <c r="BO11">
        <v>7</v>
      </c>
      <c r="BP11">
        <v>0</v>
      </c>
      <c r="BQ11">
        <v>-10</v>
      </c>
      <c r="BV11" s="21">
        <f t="shared" si="0"/>
        <v>6</v>
      </c>
    </row>
    <row r="12" spans="1:74" ht="15" customHeight="1" x14ac:dyDescent="0.25">
      <c r="A12" s="2" t="s">
        <v>158</v>
      </c>
      <c r="B12" t="s">
        <v>280</v>
      </c>
      <c r="C12">
        <v>-6.5</v>
      </c>
      <c r="D12">
        <v>1</v>
      </c>
      <c r="E12">
        <v>0.5</v>
      </c>
      <c r="F12" t="s">
        <v>281</v>
      </c>
      <c r="G12">
        <v>-5.5</v>
      </c>
      <c r="H12">
        <v>0</v>
      </c>
      <c r="I12">
        <v>-2.5</v>
      </c>
      <c r="J12" t="s">
        <v>281</v>
      </c>
      <c r="K12">
        <v>-1.5</v>
      </c>
      <c r="L12">
        <v>0</v>
      </c>
      <c r="M12">
        <v>-18.5</v>
      </c>
      <c r="N12" t="s">
        <v>286</v>
      </c>
      <c r="O12">
        <v>-9.5</v>
      </c>
      <c r="P12">
        <v>1</v>
      </c>
      <c r="Q12">
        <v>14.5</v>
      </c>
      <c r="R12" t="s">
        <v>286</v>
      </c>
      <c r="S12">
        <v>-9.5</v>
      </c>
      <c r="T12">
        <v>1</v>
      </c>
      <c r="U12">
        <v>3.5</v>
      </c>
      <c r="V12" t="s">
        <v>286</v>
      </c>
      <c r="W12">
        <v>2.5</v>
      </c>
      <c r="X12">
        <v>0</v>
      </c>
      <c r="Y12">
        <v>-11.5</v>
      </c>
      <c r="Z12" t="s">
        <v>323</v>
      </c>
      <c r="AA12">
        <v>-6.5</v>
      </c>
      <c r="AB12">
        <v>0</v>
      </c>
      <c r="AC12">
        <v>-2.5</v>
      </c>
      <c r="AD12" t="s">
        <v>281</v>
      </c>
      <c r="AE12">
        <v>3.5</v>
      </c>
      <c r="AF12">
        <v>0</v>
      </c>
      <c r="AG12">
        <v>-16.5</v>
      </c>
      <c r="AH12" t="s">
        <v>286</v>
      </c>
      <c r="AI12">
        <v>-8.5</v>
      </c>
      <c r="AJ12">
        <v>0</v>
      </c>
      <c r="AK12">
        <v>-11.5</v>
      </c>
      <c r="AL12" t="s">
        <v>341</v>
      </c>
      <c r="AM12" t="s">
        <v>123</v>
      </c>
      <c r="AN12">
        <v>1</v>
      </c>
      <c r="AO12">
        <v>21.5</v>
      </c>
      <c r="AP12" t="s">
        <v>286</v>
      </c>
      <c r="AQ12">
        <v>3</v>
      </c>
      <c r="AR12">
        <v>0</v>
      </c>
      <c r="AS12">
        <v>-4</v>
      </c>
      <c r="AT12" t="s">
        <v>342</v>
      </c>
      <c r="AU12" t="s">
        <v>120</v>
      </c>
      <c r="AV12">
        <v>0</v>
      </c>
      <c r="AW12">
        <v>-2.5</v>
      </c>
      <c r="AX12" t="s">
        <v>290</v>
      </c>
      <c r="AY12">
        <v>-5.5</v>
      </c>
      <c r="AZ12">
        <v>1</v>
      </c>
      <c r="BA12">
        <v>12.5</v>
      </c>
      <c r="BB12" s="2" t="s">
        <v>303</v>
      </c>
      <c r="BC12" s="2">
        <v>-7.5</v>
      </c>
      <c r="BD12" s="2">
        <v>-1</v>
      </c>
      <c r="BE12" s="2">
        <v>-0.5</v>
      </c>
      <c r="BV12" s="21">
        <f t="shared" si="0"/>
        <v>4</v>
      </c>
    </row>
    <row r="13" spans="1:74" ht="15" customHeight="1" x14ac:dyDescent="0.25">
      <c r="A13" s="2" t="s">
        <v>174</v>
      </c>
      <c r="B13" t="s">
        <v>303</v>
      </c>
      <c r="C13">
        <v>-8.5</v>
      </c>
      <c r="D13">
        <v>0</v>
      </c>
      <c r="E13">
        <v>-0.5</v>
      </c>
      <c r="F13" t="s">
        <v>343</v>
      </c>
      <c r="G13" t="s">
        <v>123</v>
      </c>
      <c r="H13">
        <v>1</v>
      </c>
      <c r="I13">
        <v>4.5</v>
      </c>
      <c r="J13" t="s">
        <v>340</v>
      </c>
      <c r="K13">
        <v>7.5</v>
      </c>
      <c r="L13">
        <v>1</v>
      </c>
      <c r="M13">
        <v>10.5</v>
      </c>
      <c r="N13" t="s">
        <v>336</v>
      </c>
      <c r="O13">
        <v>-1.5</v>
      </c>
      <c r="P13">
        <v>0</v>
      </c>
      <c r="Q13">
        <v>-2.5</v>
      </c>
      <c r="R13" s="2" t="s">
        <v>310</v>
      </c>
      <c r="S13" s="2">
        <v>-8.5</v>
      </c>
      <c r="T13">
        <v>-1</v>
      </c>
      <c r="U13">
        <v>-11.5</v>
      </c>
      <c r="V13" t="s">
        <v>281</v>
      </c>
      <c r="W13">
        <v>-2.5</v>
      </c>
      <c r="X13">
        <v>0</v>
      </c>
      <c r="Y13">
        <v>-5.5</v>
      </c>
      <c r="Z13" t="s">
        <v>309</v>
      </c>
      <c r="AA13">
        <v>5.5</v>
      </c>
      <c r="AB13">
        <v>1</v>
      </c>
      <c r="AC13">
        <v>7.5</v>
      </c>
      <c r="AD13" t="s">
        <v>340</v>
      </c>
      <c r="AE13">
        <v>7.5</v>
      </c>
      <c r="AF13">
        <v>0</v>
      </c>
      <c r="AG13">
        <v>-11.5</v>
      </c>
      <c r="AH13" t="s">
        <v>344</v>
      </c>
      <c r="AI13" t="s">
        <v>345</v>
      </c>
      <c r="AJ13">
        <v>1</v>
      </c>
      <c r="AK13">
        <v>8.5</v>
      </c>
      <c r="AL13" t="s">
        <v>280</v>
      </c>
      <c r="AM13">
        <v>7.5</v>
      </c>
      <c r="AN13">
        <v>0</v>
      </c>
      <c r="AO13">
        <v>-14.5</v>
      </c>
      <c r="AP13" t="s">
        <v>346</v>
      </c>
      <c r="AQ13">
        <v>6.5</v>
      </c>
      <c r="AR13">
        <v>1</v>
      </c>
      <c r="AS13">
        <v>3.5</v>
      </c>
      <c r="AT13" t="s">
        <v>347</v>
      </c>
      <c r="AU13">
        <v>-1.5</v>
      </c>
      <c r="AV13">
        <v>0</v>
      </c>
      <c r="AW13">
        <v>-15.5</v>
      </c>
      <c r="BV13" s="21">
        <f t="shared" si="0"/>
        <v>4</v>
      </c>
    </row>
    <row r="14" spans="1:74" ht="15" customHeight="1" x14ac:dyDescent="0.25">
      <c r="A14" s="2" t="s">
        <v>218</v>
      </c>
      <c r="B14" t="s">
        <v>338</v>
      </c>
      <c r="C14">
        <v>1.5</v>
      </c>
      <c r="D14">
        <v>0</v>
      </c>
      <c r="E14">
        <v>-23.5</v>
      </c>
      <c r="F14" t="s">
        <v>281</v>
      </c>
      <c r="G14">
        <v>-5.5</v>
      </c>
      <c r="H14">
        <v>0</v>
      </c>
      <c r="I14">
        <v>-2.5</v>
      </c>
      <c r="J14" t="s">
        <v>281</v>
      </c>
      <c r="K14">
        <v>-1.5</v>
      </c>
      <c r="L14">
        <v>0</v>
      </c>
      <c r="M14">
        <v>-18.5</v>
      </c>
      <c r="N14" t="s">
        <v>297</v>
      </c>
      <c r="O14">
        <v>2.5</v>
      </c>
      <c r="P14">
        <v>1</v>
      </c>
      <c r="Q14">
        <v>19.5</v>
      </c>
      <c r="R14" t="s">
        <v>281</v>
      </c>
      <c r="S14">
        <v>1.5</v>
      </c>
      <c r="T14">
        <v>1</v>
      </c>
      <c r="U14">
        <v>16.5</v>
      </c>
      <c r="V14" t="s">
        <v>281</v>
      </c>
      <c r="W14">
        <v>-2.5</v>
      </c>
      <c r="X14">
        <v>0</v>
      </c>
      <c r="Y14">
        <v>-5.5</v>
      </c>
      <c r="Z14" t="s">
        <v>281</v>
      </c>
      <c r="AA14">
        <v>-1.5</v>
      </c>
      <c r="AB14">
        <v>1</v>
      </c>
      <c r="AC14">
        <v>20.5</v>
      </c>
      <c r="AD14" t="s">
        <v>348</v>
      </c>
      <c r="AE14">
        <v>-3.5</v>
      </c>
      <c r="AF14">
        <v>1</v>
      </c>
      <c r="AG14">
        <v>16.5</v>
      </c>
      <c r="AH14" s="2" t="s">
        <v>288</v>
      </c>
      <c r="AI14" s="2">
        <v>-4.5</v>
      </c>
      <c r="AJ14">
        <v>-1</v>
      </c>
      <c r="AK14">
        <v>-3.5</v>
      </c>
      <c r="AL14" t="s">
        <v>299</v>
      </c>
      <c r="AM14">
        <v>-8.5</v>
      </c>
      <c r="AN14">
        <v>0</v>
      </c>
      <c r="AO14">
        <v>-25.5</v>
      </c>
      <c r="AP14" t="s">
        <v>286</v>
      </c>
      <c r="AQ14">
        <v>2.5</v>
      </c>
      <c r="AR14">
        <v>0</v>
      </c>
      <c r="AS14">
        <v>-4.5</v>
      </c>
      <c r="AT14" t="s">
        <v>349</v>
      </c>
      <c r="BN14" t="s">
        <v>301</v>
      </c>
      <c r="BO14">
        <v>3.5</v>
      </c>
      <c r="BP14">
        <v>0</v>
      </c>
      <c r="BQ14">
        <v>-0.5</v>
      </c>
      <c r="BV14" s="21">
        <f t="shared" si="0"/>
        <v>3</v>
      </c>
    </row>
    <row r="15" spans="1:74" ht="15" customHeight="1" x14ac:dyDescent="0.25">
      <c r="A15" t="s">
        <v>23</v>
      </c>
      <c r="B15" t="s">
        <v>290</v>
      </c>
      <c r="C15">
        <v>-2.5</v>
      </c>
      <c r="D15">
        <v>1</v>
      </c>
      <c r="E15">
        <v>1.5</v>
      </c>
      <c r="F15" t="s">
        <v>281</v>
      </c>
      <c r="G15">
        <v>-5.5</v>
      </c>
      <c r="H15">
        <v>0</v>
      </c>
      <c r="I15">
        <v>-2.5</v>
      </c>
      <c r="J15" t="s">
        <v>291</v>
      </c>
      <c r="K15">
        <v>-6.5</v>
      </c>
      <c r="L15">
        <v>0</v>
      </c>
      <c r="M15">
        <v>-4.5</v>
      </c>
      <c r="N15" t="s">
        <v>290</v>
      </c>
      <c r="O15">
        <v>-3.5</v>
      </c>
      <c r="P15">
        <v>0</v>
      </c>
      <c r="Q15">
        <v>-8.5</v>
      </c>
      <c r="R15" t="s">
        <v>281</v>
      </c>
      <c r="S15">
        <v>1.5</v>
      </c>
      <c r="T15">
        <v>1</v>
      </c>
      <c r="U15">
        <v>16.5</v>
      </c>
      <c r="V15" t="s">
        <v>281</v>
      </c>
      <c r="W15">
        <v>-2.5</v>
      </c>
      <c r="X15">
        <v>0</v>
      </c>
      <c r="Y15">
        <v>-5.5</v>
      </c>
      <c r="Z15" t="s">
        <v>281</v>
      </c>
      <c r="AA15">
        <v>-1.5</v>
      </c>
      <c r="AB15">
        <v>1</v>
      </c>
      <c r="AC15">
        <v>20.5</v>
      </c>
      <c r="AD15" t="s">
        <v>281</v>
      </c>
      <c r="AE15">
        <v>3.5</v>
      </c>
      <c r="AF15">
        <v>0</v>
      </c>
      <c r="AG15">
        <v>-16.5</v>
      </c>
      <c r="AH15" t="s">
        <v>317</v>
      </c>
      <c r="AI15">
        <v>2.5</v>
      </c>
      <c r="AJ15">
        <v>0</v>
      </c>
      <c r="AK15">
        <v>-7.5</v>
      </c>
      <c r="AL15" t="s">
        <v>195</v>
      </c>
      <c r="AP15" t="s">
        <v>195</v>
      </c>
      <c r="AT15" t="s">
        <v>349</v>
      </c>
      <c r="BV15" s="21">
        <f t="shared" si="0"/>
        <v>3</v>
      </c>
    </row>
    <row r="16" spans="1:74" ht="15" customHeight="1" x14ac:dyDescent="0.25">
      <c r="A16" t="s">
        <v>57</v>
      </c>
      <c r="B16" t="s">
        <v>306</v>
      </c>
      <c r="C16">
        <v>-8.5</v>
      </c>
      <c r="D16">
        <v>0</v>
      </c>
      <c r="E16">
        <v>-4.5</v>
      </c>
      <c r="F16" t="s">
        <v>280</v>
      </c>
      <c r="G16">
        <v>-6.5</v>
      </c>
      <c r="H16">
        <v>0</v>
      </c>
      <c r="I16">
        <v>-1</v>
      </c>
      <c r="J16" t="s">
        <v>330</v>
      </c>
      <c r="K16">
        <v>-1.5</v>
      </c>
      <c r="L16">
        <v>1</v>
      </c>
      <c r="M16">
        <v>5.5</v>
      </c>
      <c r="N16" t="s">
        <v>347</v>
      </c>
      <c r="O16">
        <v>14.5</v>
      </c>
      <c r="P16">
        <v>1</v>
      </c>
      <c r="Q16">
        <v>2.5</v>
      </c>
      <c r="R16" t="s">
        <v>317</v>
      </c>
      <c r="S16">
        <v>2.5</v>
      </c>
      <c r="T16">
        <v>0</v>
      </c>
      <c r="U16">
        <v>-9.5</v>
      </c>
      <c r="V16" t="s">
        <v>285</v>
      </c>
      <c r="W16">
        <v>6.5</v>
      </c>
      <c r="X16">
        <v>0</v>
      </c>
      <c r="Y16">
        <v>-7.5</v>
      </c>
      <c r="Z16" t="s">
        <v>323</v>
      </c>
      <c r="AA16">
        <v>-6.5</v>
      </c>
      <c r="AB16">
        <v>0</v>
      </c>
      <c r="AC16">
        <v>-2.5</v>
      </c>
      <c r="AD16" t="s">
        <v>281</v>
      </c>
      <c r="AE16">
        <v>3.5</v>
      </c>
      <c r="AF16">
        <v>0</v>
      </c>
      <c r="AG16">
        <v>-16.5</v>
      </c>
      <c r="AH16" t="s">
        <v>297</v>
      </c>
      <c r="AI16">
        <v>-2.5</v>
      </c>
      <c r="AJ16">
        <v>0</v>
      </c>
      <c r="AK16">
        <v>-9.5</v>
      </c>
      <c r="AL16" t="s">
        <v>307</v>
      </c>
      <c r="AM16">
        <v>-2.5</v>
      </c>
      <c r="AN16">
        <v>0</v>
      </c>
      <c r="AO16">
        <v>-7.5</v>
      </c>
      <c r="AP16" t="s">
        <v>195</v>
      </c>
      <c r="AT16" t="s">
        <v>349</v>
      </c>
      <c r="BV16" s="21">
        <f t="shared" si="0"/>
        <v>2</v>
      </c>
    </row>
    <row r="17" spans="1:74" ht="15" customHeight="1" x14ac:dyDescent="0.25">
      <c r="A17" t="s">
        <v>235</v>
      </c>
      <c r="B17" t="s">
        <v>286</v>
      </c>
      <c r="C17">
        <v>1.5</v>
      </c>
      <c r="D17">
        <v>0</v>
      </c>
      <c r="E17">
        <v>-12.5</v>
      </c>
      <c r="F17" t="s">
        <v>309</v>
      </c>
      <c r="G17">
        <v>-3.5</v>
      </c>
      <c r="H17">
        <v>1</v>
      </c>
      <c r="I17">
        <v>0.5</v>
      </c>
      <c r="J17" t="s">
        <v>347</v>
      </c>
      <c r="K17">
        <v>7.5</v>
      </c>
      <c r="L17">
        <v>0</v>
      </c>
      <c r="M17">
        <v>-23.5</v>
      </c>
      <c r="N17" t="s">
        <v>350</v>
      </c>
      <c r="O17" t="s">
        <v>204</v>
      </c>
      <c r="P17">
        <v>1</v>
      </c>
      <c r="Q17">
        <v>12.5</v>
      </c>
      <c r="R17" t="s">
        <v>297</v>
      </c>
      <c r="S17">
        <v>-3.5</v>
      </c>
      <c r="T17">
        <v>0</v>
      </c>
      <c r="U17">
        <v>-6.5</v>
      </c>
      <c r="V17" t="s">
        <v>286</v>
      </c>
      <c r="W17">
        <v>2.5</v>
      </c>
      <c r="X17">
        <v>0</v>
      </c>
      <c r="Y17">
        <v>-11.5</v>
      </c>
      <c r="Z17" t="s">
        <v>195</v>
      </c>
      <c r="AA17">
        <v>0</v>
      </c>
      <c r="AB17">
        <v>0</v>
      </c>
      <c r="AD17" t="s">
        <v>349</v>
      </c>
      <c r="AE17" t="s">
        <v>349</v>
      </c>
      <c r="AF17" t="s">
        <v>351</v>
      </c>
      <c r="AG17" t="s">
        <v>351</v>
      </c>
      <c r="AH17" t="s">
        <v>195</v>
      </c>
      <c r="AL17" t="s">
        <v>195</v>
      </c>
      <c r="AP17" t="s">
        <v>195</v>
      </c>
      <c r="AT17" t="s">
        <v>349</v>
      </c>
      <c r="BV17" s="22">
        <f t="shared" si="0"/>
        <v>2</v>
      </c>
    </row>
    <row r="18" spans="1:74" ht="15" customHeight="1" x14ac:dyDescent="0.25">
      <c r="A18" s="10" t="s">
        <v>238</v>
      </c>
      <c r="B18" s="11"/>
      <c r="C18" s="11"/>
      <c r="D18" s="11">
        <f>SUM(D3:D17)</f>
        <v>9</v>
      </c>
      <c r="E18" s="11">
        <f>SUM(E3:E17)</f>
        <v>-22.5</v>
      </c>
      <c r="F18" s="11"/>
      <c r="G18" s="11"/>
      <c r="H18" s="11">
        <f>SUM(H3:H17)</f>
        <v>7</v>
      </c>
      <c r="I18" s="11">
        <f>SUM(I3:I17)</f>
        <v>24.5</v>
      </c>
      <c r="J18" s="11"/>
      <c r="K18" s="11"/>
      <c r="L18" s="11">
        <f>SUM(L3:L17)</f>
        <v>6</v>
      </c>
      <c r="M18" s="11">
        <f>SUM(M3:M17)</f>
        <v>-48.5</v>
      </c>
      <c r="N18" s="11"/>
      <c r="O18" s="11"/>
      <c r="P18" s="11">
        <f>SUM(P3:P17)</f>
        <v>10</v>
      </c>
      <c r="Q18" s="11">
        <f>SUM(Q3:Q17)</f>
        <v>37.5</v>
      </c>
      <c r="R18" s="11"/>
      <c r="S18" s="11"/>
      <c r="T18" s="11">
        <f>SUM(T3:T17)</f>
        <v>5</v>
      </c>
      <c r="U18" s="11">
        <f>SUM(U3:U17)</f>
        <v>-54.5</v>
      </c>
      <c r="V18" s="11"/>
      <c r="W18" s="11"/>
      <c r="X18" s="11">
        <f>SUM(X3:X17)</f>
        <v>3</v>
      </c>
      <c r="Y18" s="11">
        <f>SUM(Y3:Y17)</f>
        <v>-35.5</v>
      </c>
      <c r="Z18" s="11"/>
      <c r="AA18" s="11"/>
      <c r="AB18" s="11">
        <f>SUM(AB3:AB17)</f>
        <v>10</v>
      </c>
      <c r="AC18" s="11">
        <f>SUM(AC3:AC17)</f>
        <v>109</v>
      </c>
      <c r="AD18" s="11"/>
      <c r="AE18" s="11"/>
      <c r="AF18" s="11">
        <f>SUM(AF3:AF17)</f>
        <v>5</v>
      </c>
      <c r="AG18" s="11">
        <f>SUM(AG3:AG17)</f>
        <v>-54</v>
      </c>
      <c r="AH18" s="11"/>
      <c r="AI18" s="11"/>
      <c r="AJ18" s="11">
        <f>SUM(AJ3:AJ17)</f>
        <v>4</v>
      </c>
      <c r="AK18" s="11">
        <f>SUM(AK3:AK17)</f>
        <v>-21</v>
      </c>
      <c r="AL18" s="11"/>
      <c r="AM18" s="11"/>
      <c r="AN18" s="11">
        <f>SUM(AN3:AN17)</f>
        <v>4</v>
      </c>
      <c r="AO18" s="11">
        <f>SUM(AO3:AO17)</f>
        <v>-51.5</v>
      </c>
      <c r="AP18" s="11"/>
      <c r="AQ18" s="11"/>
      <c r="AR18" s="11">
        <f>SUM(AR3:AR17)</f>
        <v>3</v>
      </c>
      <c r="AS18" s="11">
        <f>SUM(AS3:AS17)</f>
        <v>-66</v>
      </c>
      <c r="AT18" s="11"/>
      <c r="AU18" s="11"/>
      <c r="AV18" s="11">
        <f>SUM(AV3:AV17)</f>
        <v>5</v>
      </c>
      <c r="AW18" s="11">
        <f>SUM(AW3:AW17)</f>
        <v>-25.5</v>
      </c>
      <c r="AX18" s="11"/>
      <c r="AY18" s="11"/>
      <c r="AZ18" s="11">
        <f>SUM(AZ3:AZ17)</f>
        <v>4</v>
      </c>
      <c r="BA18" s="11">
        <f>SUM(BA3:BA17)</f>
        <v>9.5</v>
      </c>
      <c r="BB18" s="11"/>
      <c r="BC18" s="11"/>
      <c r="BD18" s="11">
        <f>SUM(BD3:BD17)</f>
        <v>3</v>
      </c>
      <c r="BE18" s="11">
        <f>SUM(BE3:BE17)</f>
        <v>-11.5</v>
      </c>
      <c r="BF18" s="11"/>
      <c r="BG18" s="11"/>
      <c r="BH18" s="11">
        <f>SUM(BH3:BH17)</f>
        <v>5</v>
      </c>
      <c r="BI18" s="11">
        <f>SUM(BI3:BI17)</f>
        <v>20.5</v>
      </c>
      <c r="BJ18" s="11"/>
      <c r="BK18" s="11"/>
      <c r="BL18" s="11">
        <f>SUM(BL3:BL17)</f>
        <v>3</v>
      </c>
      <c r="BM18" s="11">
        <f>SUM(BM3:BM17)</f>
        <v>-5</v>
      </c>
      <c r="BN18" s="11"/>
      <c r="BO18" s="11"/>
      <c r="BP18" s="11">
        <f>SUM(BP3:BP17)</f>
        <v>2</v>
      </c>
      <c r="BQ18" s="11">
        <f>SUM(BQ3:BQ17)</f>
        <v>-43</v>
      </c>
      <c r="BR18" s="11"/>
      <c r="BS18" s="11"/>
      <c r="BT18" s="11">
        <f>SUM(BT16:BT17)</f>
        <v>0</v>
      </c>
      <c r="BU18" s="11">
        <f>SUM(BU16:BU17)</f>
        <v>0</v>
      </c>
      <c r="BV18" s="19"/>
    </row>
    <row r="20" spans="1:74" ht="15" customHeight="1" x14ac:dyDescent="0.25">
      <c r="A20" s="16" t="s">
        <v>239</v>
      </c>
    </row>
    <row r="21" spans="1:74" ht="15" customHeight="1" x14ac:dyDescent="0.25">
      <c r="A21" s="17">
        <v>1000</v>
      </c>
    </row>
    <row r="22" spans="1:74" ht="15" customHeight="1" x14ac:dyDescent="0.25">
      <c r="A22" s="8">
        <v>250</v>
      </c>
    </row>
    <row r="23" spans="1:74" ht="15" customHeight="1" x14ac:dyDescent="0.25">
      <c r="A23" s="18">
        <v>100</v>
      </c>
    </row>
  </sheetData>
  <autoFilter ref="A2:BV18" xr:uid="{A1121864-0430-4BCF-BE6D-AD3C2AF5C676}">
    <sortState xmlns:xlrd2="http://schemas.microsoft.com/office/spreadsheetml/2017/richdata2" ref="A3:BV18">
      <sortCondition descending="1" ref="BV2:BV18"/>
    </sortState>
  </autoFilter>
  <mergeCells count="18">
    <mergeCell ref="BJ1:BM1"/>
    <mergeCell ref="BN1:BQ1"/>
    <mergeCell ref="BR1:BU1"/>
    <mergeCell ref="AP1:AS1"/>
    <mergeCell ref="AT1:AW1"/>
    <mergeCell ref="AX1:BA1"/>
    <mergeCell ref="BB1:BE1"/>
    <mergeCell ref="BF1:BI1"/>
    <mergeCell ref="V1:Y1"/>
    <mergeCell ref="Z1:AC1"/>
    <mergeCell ref="AD1:AG1"/>
    <mergeCell ref="AH1:AK1"/>
    <mergeCell ref="AL1:AO1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C6F3-8660-4350-8EE6-41AE16AD83EF}">
  <dimension ref="A1:C16"/>
  <sheetViews>
    <sheetView workbookViewId="0">
      <selection activeCell="C16" sqref="C16"/>
    </sheetView>
  </sheetViews>
  <sheetFormatPr defaultRowHeight="15" x14ac:dyDescent="0.25"/>
  <cols>
    <col min="1" max="1" width="9" bestFit="1" customWidth="1"/>
    <col min="2" max="2" width="12.140625" bestFit="1" customWidth="1"/>
  </cols>
  <sheetData>
    <row r="1" spans="1:3" x14ac:dyDescent="0.25">
      <c r="A1" t="s">
        <v>18</v>
      </c>
      <c r="B1" t="s">
        <v>240</v>
      </c>
      <c r="C1" t="s">
        <v>241</v>
      </c>
    </row>
    <row r="2" spans="1:3" x14ac:dyDescent="0.25">
      <c r="A2" t="s">
        <v>23</v>
      </c>
      <c r="B2" t="s">
        <v>243</v>
      </c>
      <c r="C2">
        <v>100</v>
      </c>
    </row>
    <row r="3" spans="1:3" x14ac:dyDescent="0.25">
      <c r="A3" t="s">
        <v>65</v>
      </c>
      <c r="B3" t="s">
        <v>246</v>
      </c>
      <c r="C3">
        <v>100</v>
      </c>
    </row>
    <row r="4" spans="1:3" x14ac:dyDescent="0.25">
      <c r="A4" t="s">
        <v>102</v>
      </c>
      <c r="B4" t="s">
        <v>248</v>
      </c>
      <c r="C4">
        <v>100</v>
      </c>
    </row>
    <row r="5" spans="1:3" x14ac:dyDescent="0.25">
      <c r="A5" t="s">
        <v>130</v>
      </c>
      <c r="B5" t="s">
        <v>251</v>
      </c>
      <c r="C5">
        <v>100</v>
      </c>
    </row>
    <row r="6" spans="1:3" x14ac:dyDescent="0.25">
      <c r="A6" t="s">
        <v>158</v>
      </c>
      <c r="B6" t="s">
        <v>254</v>
      </c>
      <c r="C6">
        <v>100</v>
      </c>
    </row>
    <row r="7" spans="1:3" x14ac:dyDescent="0.25">
      <c r="A7" t="s">
        <v>82</v>
      </c>
      <c r="B7" t="s">
        <v>255</v>
      </c>
      <c r="C7">
        <v>100</v>
      </c>
    </row>
    <row r="8" spans="1:3" x14ac:dyDescent="0.25">
      <c r="A8" t="s">
        <v>112</v>
      </c>
      <c r="B8" t="s">
        <v>257</v>
      </c>
      <c r="C8">
        <v>100</v>
      </c>
    </row>
    <row r="9" spans="1:3" x14ac:dyDescent="0.25">
      <c r="A9" t="s">
        <v>201</v>
      </c>
      <c r="B9" t="s">
        <v>258</v>
      </c>
      <c r="C9">
        <v>100</v>
      </c>
    </row>
    <row r="10" spans="1:3" x14ac:dyDescent="0.25">
      <c r="A10" t="s">
        <v>212</v>
      </c>
      <c r="B10" t="s">
        <v>260</v>
      </c>
      <c r="C10">
        <v>100</v>
      </c>
    </row>
    <row r="11" spans="1:3" x14ac:dyDescent="0.25">
      <c r="A11" t="s">
        <v>218</v>
      </c>
      <c r="B11" t="s">
        <v>269</v>
      </c>
      <c r="C11">
        <v>100</v>
      </c>
    </row>
    <row r="12" spans="1:3" x14ac:dyDescent="0.25">
      <c r="A12" t="s">
        <v>99</v>
      </c>
      <c r="B12" t="s">
        <v>270</v>
      </c>
      <c r="C12">
        <v>100</v>
      </c>
    </row>
    <row r="13" spans="1:3" x14ac:dyDescent="0.25">
      <c r="A13" t="s">
        <v>174</v>
      </c>
      <c r="B13" t="s">
        <v>271</v>
      </c>
      <c r="C13">
        <v>100</v>
      </c>
    </row>
    <row r="14" spans="1:3" x14ac:dyDescent="0.25">
      <c r="A14" t="s">
        <v>235</v>
      </c>
      <c r="B14" t="s">
        <v>273</v>
      </c>
      <c r="C14">
        <v>100</v>
      </c>
    </row>
    <row r="15" spans="1:3" x14ac:dyDescent="0.25">
      <c r="A15" t="s">
        <v>191</v>
      </c>
      <c r="B15" t="s">
        <v>275</v>
      </c>
      <c r="C15">
        <v>100</v>
      </c>
    </row>
    <row r="16" spans="1:3" x14ac:dyDescent="0.25">
      <c r="A16" t="s">
        <v>57</v>
      </c>
      <c r="B16" t="s">
        <v>259</v>
      </c>
      <c r="C16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8F8AC250DCF4EA2401B23C8869FD9" ma:contentTypeVersion="15" ma:contentTypeDescription="Create a new document." ma:contentTypeScope="" ma:versionID="58eba7a3064d5c35fd37eb9e38ad08e0">
  <xsd:schema xmlns:xsd="http://www.w3.org/2001/XMLSchema" xmlns:xs="http://www.w3.org/2001/XMLSchema" xmlns:p="http://schemas.microsoft.com/office/2006/metadata/properties" xmlns:ns2="b9ffcf39-10fd-4cb9-8139-7927a87e3586" xmlns:ns3="a039bf6c-8ffe-4f5d-87e3-ecc286fe4096" targetNamespace="http://schemas.microsoft.com/office/2006/metadata/properties" ma:root="true" ma:fieldsID="22fd81a0e4604cd0c3c202fd7e6dd8f4" ns2:_="" ns3:_="">
    <xsd:import namespace="b9ffcf39-10fd-4cb9-8139-7927a87e3586"/>
    <xsd:import namespace="a039bf6c-8ffe-4f5d-87e3-ecc286fe40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fcf39-10fd-4cb9-8139-7927a87e3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656b2e-afbb-4557-b57a-2e937084ab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9bf6c-8ffe-4f5d-87e3-ecc286fe40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923e81-d01a-4ade-ab4e-e56de7056447}" ma:internalName="TaxCatchAll" ma:showField="CatchAllData" ma:web="a039bf6c-8ffe-4f5d-87e3-ecc286fe40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39bf6c-8ffe-4f5d-87e3-ecc286fe4096" xsi:nil="true"/>
    <lcf76f155ced4ddcb4097134ff3c332f xmlns="b9ffcf39-10fd-4cb9-8139-7927a87e35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E912BC-DCB5-4DA1-ABD7-58B007D690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F4629F-8152-4D4B-9AE8-D55E79E69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fcf39-10fd-4cb9-8139-7927a87e3586"/>
    <ds:schemaRef ds:uri="a039bf6c-8ffe-4f5d-87e3-ecc286fe40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C94B62-C14B-4B27-8C22-0F7988342DBB}">
  <ds:schemaRefs>
    <ds:schemaRef ds:uri="http://schemas.microsoft.com/office/2006/metadata/properties"/>
    <ds:schemaRef ds:uri="http://schemas.microsoft.com/office/infopath/2007/PartnerControls"/>
    <ds:schemaRef ds:uri="a039bf6c-8ffe-4f5d-87e3-ecc286fe4096"/>
    <ds:schemaRef ds:uri="b9ffcf39-10fd-4cb9-8139-7927a87e35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NCAA</vt:lpstr>
      <vt:lpstr>NCAA Players</vt:lpstr>
      <vt:lpstr>NFL</vt:lpstr>
      <vt:lpstr>NFL Players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Houston Hornibrook</dc:creator>
  <cp:keywords/>
  <dc:description/>
  <cp:lastModifiedBy>Trevor Sutherland</cp:lastModifiedBy>
  <cp:revision/>
  <dcterms:created xsi:type="dcterms:W3CDTF">2025-08-23T18:39:58Z</dcterms:created>
  <dcterms:modified xsi:type="dcterms:W3CDTF">2026-08-12T19:04:43Z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0x01010058E8F8AC250DCF4EA2401B23C8869FD9</vt:lpwstr>
  </property>
  <property fmtid="{D5CDD505-2E9C-101B-9397-08002B2CF9AE}" pid="3" name="MediaServiceImageTags">
    <vt:lpwstr/>
  </property>
</Properties>
</file>